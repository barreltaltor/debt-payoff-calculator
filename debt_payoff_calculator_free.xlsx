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Schedule" sheetId="2" state="visible" r:id="rId2"/>
    <sheet name="Compare" sheetId="3" state="visible" r:id="rId3"/>
    <sheet name="Track your progress" sheetId="4" state="visible" r:id="rId4"/>
    <sheet name="Quick Start" sheetId="5" state="visible" r:id="rId5"/>
    <sheet name="Calc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mmm yyyy"/>
    <numFmt numFmtId="166" formatCode="$#,##0.00"/>
  </numFmts>
  <fonts count="13">
    <font>
      <name val="Calibri"/>
      <family val="2"/>
      <color theme="1"/>
      <sz val="11"/>
      <scheme val="minor"/>
    </font>
    <font>
      <name val="Calibri"/>
      <b val="1"/>
      <color rgb="001F3A5F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F3A5F"/>
      <sz val="22"/>
    </font>
    <font>
      <name val="Calibri"/>
      <color rgb="002A9D8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3A5F"/>
      <sz val="10"/>
    </font>
    <font>
      <name val="Calibri"/>
      <color rgb="006B7280"/>
      <sz val="10"/>
    </font>
    <font>
      <name val="Calibri"/>
      <i val="1"/>
      <color rgb="006B7280"/>
      <sz val="9"/>
    </font>
    <font>
      <name val="Calibri"/>
      <b val="1"/>
      <color rgb="001F3A5F"/>
      <sz val="13"/>
    </font>
    <font>
      <name val="Calibri"/>
      <b val="1"/>
      <color rgb="002A9D8F"/>
      <sz val="13"/>
      <u val="single"/>
    </font>
  </fonts>
  <fills count="4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164" fontId="6" fillId="2" borderId="1" pivotButton="0" quotePrefix="0" xfId="0"/>
    <xf numFmtId="164" fontId="7" fillId="0" borderId="1" pivotButton="0" quotePrefix="0" xfId="0"/>
    <xf numFmtId="0" fontId="6" fillId="2" borderId="1" pivotButton="0" quotePrefix="0" xfId="0"/>
    <xf numFmtId="165" fontId="6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1" pivotButton="0" quotePrefix="0" xfId="0"/>
    <xf numFmtId="166" fontId="6" fillId="2" borderId="1" pivotButton="0" quotePrefix="0" xfId="0"/>
    <xf numFmtId="10" fontId="6" fillId="2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10" fillId="0" borderId="0" pivotButton="0" quotePrefix="0" xfId="0"/>
    <xf numFmtId="165" fontId="6" fillId="0" borderId="1" pivotButton="0" quotePrefix="0" xfId="0"/>
    <xf numFmtId="166" fontId="6" fillId="0" borderId="1" pivotButton="0" quotePrefix="0" xfId="0"/>
    <xf numFmtId="166" fontId="7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1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total balance</a:t>
            </a:r>
          </a:p>
        </rich>
      </tx>
      <overlay val="0"/>
    </title>
    <plotArea>
      <lineChart>
        <grouping val="standard"/>
        <ser>
          <idx val="0"/>
          <order val="0"/>
          <spPr>
            <a:ln w="38100">
              <a:solidFill>
                <a:srgbClr val="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'Schedule'!$C$7:$C$126</f>
            </numRef>
          </cat>
          <val>
            <numRef>
              <f>'Schedule'!$F$7:$F$126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32</row>
      <rowOff>0</rowOff>
    </from>
    <ext cx="70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10763250" cy="7258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arreltaltor.github.io/debt-payoff-calculator/#paid" TargetMode="External" Id="rId1" /><Relationship Type="http://schemas.openxmlformats.org/officeDocument/2006/relationships/drawing" Target="/xl/drawings/drawing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16" customWidth="1" min="4" max="4"/>
    <col width="16" customWidth="1" min="5" max="5"/>
    <col width="18" customWidth="1" min="6" max="6"/>
    <col width="12" customWidth="1" min="7" max="7"/>
    <col width="16" customWidth="1" min="8" max="8"/>
  </cols>
  <sheetData>
    <row r="2">
      <c r="B2" s="1" t="inlineStr">
        <is>
          <t>Debt Payoff Calculator (free)</t>
        </is>
      </c>
    </row>
    <row r="3">
      <c r="B3" s="2" t="inlineStr">
        <is>
          <t>Enter your debts, set one monthly budget, and see the month you become debt-free.</t>
        </is>
      </c>
    </row>
    <row r="5">
      <c r="B5" s="3" t="inlineStr">
        <is>
          <t>DEBT-FREE BY</t>
        </is>
      </c>
      <c r="E5" s="3" t="inlineStr">
        <is>
          <t>MONTHS TO GO</t>
        </is>
      </c>
      <c r="G5" s="3" t="inlineStr">
        <is>
          <t>TOTAL INTEREST</t>
        </is>
      </c>
    </row>
    <row r="6" ht="34" customHeight="1">
      <c r="B6" s="4">
        <f>IF(Calc!$B$4=0,"Enter your debts below",IF(Calc!$C$4&gt;$D$9,"Budget must be at least $"&amp;TEXT(Calc!$C$4,"#,##0"),IF(IF($D$10="Avalanche",Calc!$B$3,Calc!$B$2)&gt;120,"Over 10 years — raise your monthly budget by $"&amp;TEXT(Calc!$D$4,"#,##0"),TEXT(EDATE($D$11,IF($D$10="Avalanche",Calc!$B$3,Calc!$B$2)-1),"mmm yyyy"))))</f>
        <v/>
      </c>
      <c r="E6" s="4">
        <f>IF(Calc!$B$4=0,"-",IF(IF($D$10="Avalanche",Calc!$B$3,Calc!$B$2)&gt;120,"120+",IF($D$10="Avalanche",Calc!$B$3,Calc!$B$2)))</f>
        <v/>
      </c>
      <c r="G6" s="5">
        <f>IF(Calc!$B$4=0,"-",IF(IF($D$10="Avalanche",Calc!$B$3,Calc!$B$2)&gt;120,"-",IF($D$10="Avalanche",Calc!$C$3,Calc!$C$2)))</f>
        <v/>
      </c>
    </row>
    <row r="7">
      <c r="B7" s="6">
        <f>IF(Calc!$B$4=0,"Tip: start with the debt you feel worst about — it usually is the smallest one.",IF(Calc!$C$4&gt;$D$9,"Your minimum payments add up to more than your budget. Raise the budget or check the amounts.","Paying $"&amp;TEXT($H$11,"#,##0")&amp;" extra every month with the "&amp;$D$10&amp;" method ("&amp;IF($D$10="Avalanche","highest APR first","smallest balance first")&amp;")."))</f>
        <v/>
      </c>
    </row>
    <row r="9">
      <c r="B9" s="7" t="inlineStr">
        <is>
          <t>Monthly budget</t>
        </is>
      </c>
      <c r="D9" s="8" t="n"/>
      <c r="F9" s="7" t="inlineStr">
        <is>
          <t>Total balance</t>
        </is>
      </c>
      <c r="H9" s="9">
        <f>SUM(D14:D28)</f>
        <v/>
      </c>
    </row>
    <row r="10">
      <c r="B10" s="7" t="inlineStr">
        <is>
          <t>Payoff method</t>
        </is>
      </c>
      <c r="D10" s="10" t="inlineStr">
        <is>
          <t>Snowball</t>
        </is>
      </c>
      <c r="F10" s="7" t="inlineStr">
        <is>
          <t>Minimum payments</t>
        </is>
      </c>
      <c r="H10" s="9">
        <f>Calc!C4</f>
        <v/>
      </c>
    </row>
    <row r="11">
      <c r="B11" s="7" t="inlineStr">
        <is>
          <t>First payment month</t>
        </is>
      </c>
      <c r="D11" s="11">
        <f>DATE(YEAR(TODAY()),MONTH(TODAY())+1,1)</f>
        <v/>
      </c>
      <c r="F11" s="7" t="inlineStr">
        <is>
          <t>Extra toward debt</t>
        </is>
      </c>
      <c r="H11" s="9">
        <f>MAX(0,D9-H10)</f>
        <v/>
      </c>
    </row>
    <row r="13" ht="20" customHeight="1">
      <c r="B13" s="12" t="inlineStr">
        <is>
          <t>#</t>
        </is>
      </c>
      <c r="C13" s="12" t="inlineStr">
        <is>
          <t>Debt name</t>
        </is>
      </c>
      <c r="D13" s="12" t="inlineStr">
        <is>
          <t>Balance</t>
        </is>
      </c>
      <c r="E13" s="12" t="inlineStr">
        <is>
          <t>APR %</t>
        </is>
      </c>
      <c r="F13" s="12" t="inlineStr">
        <is>
          <t>Minimum payment</t>
        </is>
      </c>
      <c r="G13" s="12" t="inlineStr">
        <is>
          <t>Order</t>
        </is>
      </c>
      <c r="H13" s="12" t="inlineStr">
        <is>
          <t>Paid off</t>
        </is>
      </c>
    </row>
    <row r="14">
      <c r="B14" s="13" t="n">
        <v>1</v>
      </c>
      <c r="C14" s="10" t="n"/>
      <c r="D14" s="14" t="n"/>
      <c r="E14" s="15" t="n"/>
      <c r="F14" s="14" t="n"/>
      <c r="G14" s="16">
        <f>IF($D$10="Avalanche",Calc!F6,Calc!D6)</f>
        <v/>
      </c>
      <c r="H14" s="17">
        <f>IF(G14="","",IF(IF($D$10="Avalanche",Calc!H6,Calc!G6)&gt;120,"120+ months",TEXT(EDATE($D$11,IF($D$10="Avalanche",Calc!H6,Calc!G6)-1),"mmm yyyy")))</f>
        <v/>
      </c>
    </row>
    <row r="15">
      <c r="B15" s="13" t="n">
        <v>2</v>
      </c>
      <c r="C15" s="10" t="n"/>
      <c r="D15" s="14" t="n"/>
      <c r="E15" s="15" t="n"/>
      <c r="F15" s="14" t="n"/>
      <c r="G15" s="16">
        <f>IF($D$10="Avalanche",Calc!F7,Calc!D7)</f>
        <v/>
      </c>
      <c r="H15" s="17">
        <f>IF(G15="","",IF(IF($D$10="Avalanche",Calc!H7,Calc!G7)&gt;120,"120+ months",TEXT(EDATE($D$11,IF($D$10="Avalanche",Calc!H7,Calc!G7)-1),"mmm yyyy")))</f>
        <v/>
      </c>
    </row>
    <row r="16">
      <c r="B16" s="13" t="n">
        <v>3</v>
      </c>
      <c r="C16" s="10" t="n"/>
      <c r="D16" s="14" t="n"/>
      <c r="E16" s="15" t="n"/>
      <c r="F16" s="14" t="n"/>
      <c r="G16" s="16">
        <f>IF($D$10="Avalanche",Calc!F8,Calc!D8)</f>
        <v/>
      </c>
      <c r="H16" s="17">
        <f>IF(G16="","",IF(IF($D$10="Avalanche",Calc!H8,Calc!G8)&gt;120,"120+ months",TEXT(EDATE($D$11,IF($D$10="Avalanche",Calc!H8,Calc!G8)-1),"mmm yyyy")))</f>
        <v/>
      </c>
    </row>
    <row r="17">
      <c r="B17" s="13" t="n">
        <v>4</v>
      </c>
      <c r="C17" s="10" t="n"/>
      <c r="D17" s="14" t="n"/>
      <c r="E17" s="15" t="n"/>
      <c r="F17" s="14" t="n"/>
      <c r="G17" s="16">
        <f>IF($D$10="Avalanche",Calc!F9,Calc!D9)</f>
        <v/>
      </c>
      <c r="H17" s="17">
        <f>IF(G17="","",IF(IF($D$10="Avalanche",Calc!H9,Calc!G9)&gt;120,"120+ months",TEXT(EDATE($D$11,IF($D$10="Avalanche",Calc!H9,Calc!G9)-1),"mmm yyyy")))</f>
        <v/>
      </c>
    </row>
    <row r="18">
      <c r="B18" s="13" t="n">
        <v>5</v>
      </c>
      <c r="C18" s="10" t="n"/>
      <c r="D18" s="14" t="n"/>
      <c r="E18" s="15" t="n"/>
      <c r="F18" s="14" t="n"/>
      <c r="G18" s="16">
        <f>IF($D$10="Avalanche",Calc!F10,Calc!D10)</f>
        <v/>
      </c>
      <c r="H18" s="17">
        <f>IF(G18="","",IF(IF($D$10="Avalanche",Calc!H10,Calc!G10)&gt;120,"120+ months",TEXT(EDATE($D$11,IF($D$10="Avalanche",Calc!H10,Calc!G10)-1),"mmm yyyy")))</f>
        <v/>
      </c>
    </row>
    <row r="19">
      <c r="B19" s="13" t="n">
        <v>6</v>
      </c>
      <c r="C19" s="10" t="n"/>
      <c r="D19" s="14" t="n"/>
      <c r="E19" s="15" t="n"/>
      <c r="F19" s="14" t="n"/>
      <c r="G19" s="16">
        <f>IF($D$10="Avalanche",Calc!F11,Calc!D11)</f>
        <v/>
      </c>
      <c r="H19" s="17">
        <f>IF(G19="","",IF(IF($D$10="Avalanche",Calc!H11,Calc!G11)&gt;120,"120+ months",TEXT(EDATE($D$11,IF($D$10="Avalanche",Calc!H11,Calc!G11)-1),"mmm yyyy")))</f>
        <v/>
      </c>
    </row>
    <row r="20">
      <c r="B20" s="13" t="n">
        <v>7</v>
      </c>
      <c r="C20" s="10" t="n"/>
      <c r="D20" s="14" t="n"/>
      <c r="E20" s="15" t="n"/>
      <c r="F20" s="14" t="n"/>
      <c r="G20" s="16">
        <f>IF($D$10="Avalanche",Calc!F12,Calc!D12)</f>
        <v/>
      </c>
      <c r="H20" s="17">
        <f>IF(G20="","",IF(IF($D$10="Avalanche",Calc!H12,Calc!G12)&gt;120,"120+ months",TEXT(EDATE($D$11,IF($D$10="Avalanche",Calc!H12,Calc!G12)-1),"mmm yyyy")))</f>
        <v/>
      </c>
    </row>
    <row r="21">
      <c r="B21" s="13" t="n">
        <v>8</v>
      </c>
      <c r="C21" s="10" t="n"/>
      <c r="D21" s="14" t="n"/>
      <c r="E21" s="15" t="n"/>
      <c r="F21" s="14" t="n"/>
      <c r="G21" s="16">
        <f>IF($D$10="Avalanche",Calc!F13,Calc!D13)</f>
        <v/>
      </c>
      <c r="H21" s="17">
        <f>IF(G21="","",IF(IF($D$10="Avalanche",Calc!H13,Calc!G13)&gt;120,"120+ months",TEXT(EDATE($D$11,IF($D$10="Avalanche",Calc!H13,Calc!G13)-1),"mmm yyyy")))</f>
        <v/>
      </c>
    </row>
    <row r="22">
      <c r="B22" s="13" t="n">
        <v>9</v>
      </c>
      <c r="C22" s="10" t="n"/>
      <c r="D22" s="14" t="n"/>
      <c r="E22" s="15" t="n"/>
      <c r="F22" s="14" t="n"/>
      <c r="G22" s="16">
        <f>IF($D$10="Avalanche",Calc!F14,Calc!D14)</f>
        <v/>
      </c>
      <c r="H22" s="17">
        <f>IF(G22="","",IF(IF($D$10="Avalanche",Calc!H14,Calc!G14)&gt;120,"120+ months",TEXT(EDATE($D$11,IF($D$10="Avalanche",Calc!H14,Calc!G14)-1),"mmm yyyy")))</f>
        <v/>
      </c>
    </row>
    <row r="23">
      <c r="B23" s="13" t="n">
        <v>10</v>
      </c>
      <c r="C23" s="10" t="n"/>
      <c r="D23" s="14" t="n"/>
      <c r="E23" s="15" t="n"/>
      <c r="F23" s="14" t="n"/>
      <c r="G23" s="16">
        <f>IF($D$10="Avalanche",Calc!F15,Calc!D15)</f>
        <v/>
      </c>
      <c r="H23" s="17">
        <f>IF(G23="","",IF(IF($D$10="Avalanche",Calc!H15,Calc!G15)&gt;120,"120+ months",TEXT(EDATE($D$11,IF($D$10="Avalanche",Calc!H15,Calc!G15)-1),"mmm yyyy")))</f>
        <v/>
      </c>
    </row>
    <row r="24">
      <c r="B24" s="13" t="n">
        <v>11</v>
      </c>
      <c r="C24" s="10" t="n"/>
      <c r="D24" s="14" t="n"/>
      <c r="E24" s="15" t="n"/>
      <c r="F24" s="14" t="n"/>
      <c r="G24" s="16">
        <f>IF($D$10="Avalanche",Calc!F16,Calc!D16)</f>
        <v/>
      </c>
      <c r="H24" s="17">
        <f>IF(G24="","",IF(IF($D$10="Avalanche",Calc!H16,Calc!G16)&gt;120,"120+ months",TEXT(EDATE($D$11,IF($D$10="Avalanche",Calc!H16,Calc!G16)-1),"mmm yyyy")))</f>
        <v/>
      </c>
    </row>
    <row r="25">
      <c r="B25" s="13" t="n">
        <v>12</v>
      </c>
      <c r="C25" s="10" t="n"/>
      <c r="D25" s="14" t="n"/>
      <c r="E25" s="15" t="n"/>
      <c r="F25" s="14" t="n"/>
      <c r="G25" s="16">
        <f>IF($D$10="Avalanche",Calc!F17,Calc!D17)</f>
        <v/>
      </c>
      <c r="H25" s="17">
        <f>IF(G25="","",IF(IF($D$10="Avalanche",Calc!H17,Calc!G17)&gt;120,"120+ months",TEXT(EDATE($D$11,IF($D$10="Avalanche",Calc!H17,Calc!G17)-1),"mmm yyyy")))</f>
        <v/>
      </c>
    </row>
    <row r="26">
      <c r="B26" s="13" t="n">
        <v>13</v>
      </c>
      <c r="C26" s="10" t="n"/>
      <c r="D26" s="14" t="n"/>
      <c r="E26" s="15" t="n"/>
      <c r="F26" s="14" t="n"/>
      <c r="G26" s="16">
        <f>IF($D$10="Avalanche",Calc!F18,Calc!D18)</f>
        <v/>
      </c>
      <c r="H26" s="17">
        <f>IF(G26="","",IF(IF($D$10="Avalanche",Calc!H18,Calc!G18)&gt;120,"120+ months",TEXT(EDATE($D$11,IF($D$10="Avalanche",Calc!H18,Calc!G18)-1),"mmm yyyy")))</f>
        <v/>
      </c>
    </row>
    <row r="27">
      <c r="B27" s="13" t="n">
        <v>14</v>
      </c>
      <c r="C27" s="10" t="n"/>
      <c r="D27" s="14" t="n"/>
      <c r="E27" s="15" t="n"/>
      <c r="F27" s="14" t="n"/>
      <c r="G27" s="16">
        <f>IF($D$10="Avalanche",Calc!F19,Calc!D19)</f>
        <v/>
      </c>
      <c r="H27" s="17">
        <f>IF(G27="","",IF(IF($D$10="Avalanche",Calc!H19,Calc!G19)&gt;120,"120+ months",TEXT(EDATE($D$11,IF($D$10="Avalanche",Calc!H19,Calc!G19)-1),"mmm yyyy")))</f>
        <v/>
      </c>
    </row>
    <row r="28">
      <c r="B28" s="13" t="n">
        <v>15</v>
      </c>
      <c r="C28" s="10" t="n"/>
      <c r="D28" s="14" t="n"/>
      <c r="E28" s="15" t="n"/>
      <c r="F28" s="14" t="n"/>
      <c r="G28" s="16">
        <f>IF($D$10="Avalanche",Calc!F20,Calc!D20)</f>
        <v/>
      </c>
      <c r="H28" s="17">
        <f>IF(G28="","",IF(IF($D$10="Avalanche",Calc!H20,Calc!G20)&gt;120,"120+ months",TEXT(EDATE($D$11,IF($D$10="Avalanche",Calc!H20,Calc!G20)-1),"mmm yyyy")))</f>
        <v/>
      </c>
    </row>
    <row r="30">
      <c r="B30" s="18" t="inlineStr">
        <is>
          <t>Type only in the light-yellow cells. Everything else is calculated. APR: type 19.99 for 19.99%.</t>
        </is>
      </c>
    </row>
    <row r="31">
      <c r="B31" s="18" t="inlineStr">
        <is>
          <t>See what to pay on each debt every month in the Schedule tab. Want to know each month if you're ahead or behind? See 'Track your progress'.</t>
        </is>
      </c>
    </row>
  </sheetData>
  <mergeCells count="10">
    <mergeCell ref="F11:G11"/>
    <mergeCell ref="E6:F6"/>
    <mergeCell ref="B11:C11"/>
    <mergeCell ref="F10:G10"/>
    <mergeCell ref="B10:C10"/>
    <mergeCell ref="G6:H6"/>
    <mergeCell ref="B7:H7"/>
    <mergeCell ref="B9:C9"/>
    <mergeCell ref="B6:D6"/>
    <mergeCell ref="F9:G9"/>
  </mergeCells>
  <dataValidations count="1">
    <dataValidation sqref="D10" showDropDown="0" showInputMessage="0" showErrorMessage="0" allowBlank="0" type="list">
      <formula1>"Snowball,Avalanche"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12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11" customWidth="1" min="3" max="3"/>
    <col width="14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2">
      <c r="B2" s="1" t="inlineStr">
        <is>
          <t>Payment schedule</t>
        </is>
      </c>
    </row>
    <row r="3">
      <c r="B3" s="2" t="inlineStr">
        <is>
          <t>What to pay on each debt every month with your budget and method (from the Start tab). Balances are at the end of each month.</t>
        </is>
      </c>
    </row>
    <row r="5" ht="30" customHeight="1">
      <c r="B5" s="12" t="inlineStr">
        <is>
          <t>Month #</t>
        </is>
      </c>
      <c r="C5" s="12" t="inlineStr">
        <is>
          <t>Month</t>
        </is>
      </c>
      <c r="D5" s="12" t="inlineStr">
        <is>
          <t>Total paid</t>
        </is>
      </c>
      <c r="E5" s="12" t="inlineStr">
        <is>
          <t>Interest</t>
        </is>
      </c>
      <c r="F5" s="12" t="inlineStr">
        <is>
          <t>Total balance</t>
        </is>
      </c>
      <c r="G5" s="12">
        <f>IF(Calc!$B$6=0,"",IF(Start!$C$14="","Debt 1",Start!$C$14))</f>
        <v/>
      </c>
      <c r="H5" s="12" t="n"/>
      <c r="I5" s="12">
        <f>IF(Calc!$B$7=0,"",IF(Start!$C$15="","Debt 2",Start!$C$15))</f>
        <v/>
      </c>
      <c r="J5" s="12" t="n"/>
      <c r="K5" s="12">
        <f>IF(Calc!$B$8=0,"",IF(Start!$C$16="","Debt 3",Start!$C$16))</f>
        <v/>
      </c>
      <c r="L5" s="12" t="n"/>
      <c r="M5" s="12">
        <f>IF(Calc!$B$9=0,"",IF(Start!$C$17="","Debt 4",Start!$C$17))</f>
        <v/>
      </c>
      <c r="N5" s="12" t="n"/>
      <c r="O5" s="12">
        <f>IF(Calc!$B$10=0,"",IF(Start!$C$18="","Debt 5",Start!$C$18))</f>
        <v/>
      </c>
      <c r="P5" s="12" t="n"/>
      <c r="Q5" s="12">
        <f>IF(Calc!$B$11=0,"",IF(Start!$C$19="","Debt 6",Start!$C$19))</f>
        <v/>
      </c>
      <c r="R5" s="12" t="n"/>
      <c r="S5" s="12">
        <f>IF(Calc!$B$12=0,"",IF(Start!$C$20="","Debt 7",Start!$C$20))</f>
        <v/>
      </c>
      <c r="T5" s="12" t="n"/>
      <c r="U5" s="12">
        <f>IF(Calc!$B$13=0,"",IF(Start!$C$21="","Debt 8",Start!$C$21))</f>
        <v/>
      </c>
      <c r="V5" s="12" t="n"/>
      <c r="W5" s="12">
        <f>IF(Calc!$B$14=0,"",IF(Start!$C$22="","Debt 9",Start!$C$22))</f>
        <v/>
      </c>
      <c r="X5" s="12" t="n"/>
      <c r="Y5" s="12">
        <f>IF(Calc!$B$15=0,"",IF(Start!$C$23="","Debt 10",Start!$C$23))</f>
        <v/>
      </c>
      <c r="Z5" s="12" t="n"/>
      <c r="AA5" s="12">
        <f>IF(Calc!$B$16=0,"",IF(Start!$C$24="","Debt 11",Start!$C$24))</f>
        <v/>
      </c>
      <c r="AB5" s="12" t="n"/>
      <c r="AC5" s="12">
        <f>IF(Calc!$B$17=0,"",IF(Start!$C$25="","Debt 12",Start!$C$25))</f>
        <v/>
      </c>
      <c r="AD5" s="12" t="n"/>
      <c r="AE5" s="12">
        <f>IF(Calc!$B$18=0,"",IF(Start!$C$26="","Debt 13",Start!$C$26))</f>
        <v/>
      </c>
      <c r="AF5" s="12" t="n"/>
      <c r="AG5" s="12">
        <f>IF(Calc!$B$19=0,"",IF(Start!$C$27="","Debt 14",Start!$C$27))</f>
        <v/>
      </c>
      <c r="AH5" s="12" t="n"/>
      <c r="AI5" s="12">
        <f>IF(Calc!$B$20=0,"",IF(Start!$C$28="","Debt 15",Start!$C$28))</f>
        <v/>
      </c>
      <c r="AJ5" s="12" t="n"/>
    </row>
    <row r="6">
      <c r="B6" s="12" t="n"/>
      <c r="C6" s="12" t="n"/>
      <c r="D6" s="12" t="n"/>
      <c r="E6" s="12" t="n"/>
      <c r="F6" s="12" t="n"/>
      <c r="G6" s="12" t="inlineStr">
        <is>
          <t>Payment</t>
        </is>
      </c>
      <c r="H6" s="12" t="inlineStr">
        <is>
          <t>Balance</t>
        </is>
      </c>
      <c r="I6" s="12" t="inlineStr">
        <is>
          <t>Payment</t>
        </is>
      </c>
      <c r="J6" s="12" t="inlineStr">
        <is>
          <t>Balance</t>
        </is>
      </c>
      <c r="K6" s="12" t="inlineStr">
        <is>
          <t>Payment</t>
        </is>
      </c>
      <c r="L6" s="12" t="inlineStr">
        <is>
          <t>Balance</t>
        </is>
      </c>
      <c r="M6" s="12" t="inlineStr">
        <is>
          <t>Payment</t>
        </is>
      </c>
      <c r="N6" s="12" t="inlineStr">
        <is>
          <t>Balance</t>
        </is>
      </c>
      <c r="O6" s="12" t="inlineStr">
        <is>
          <t>Payment</t>
        </is>
      </c>
      <c r="P6" s="12" t="inlineStr">
        <is>
          <t>Balance</t>
        </is>
      </c>
      <c r="Q6" s="12" t="inlineStr">
        <is>
          <t>Payment</t>
        </is>
      </c>
      <c r="R6" s="12" t="inlineStr">
        <is>
          <t>Balance</t>
        </is>
      </c>
      <c r="S6" s="12" t="inlineStr">
        <is>
          <t>Payment</t>
        </is>
      </c>
      <c r="T6" s="12" t="inlineStr">
        <is>
          <t>Balance</t>
        </is>
      </c>
      <c r="U6" s="12" t="inlineStr">
        <is>
          <t>Payment</t>
        </is>
      </c>
      <c r="V6" s="12" t="inlineStr">
        <is>
          <t>Balance</t>
        </is>
      </c>
      <c r="W6" s="12" t="inlineStr">
        <is>
          <t>Payment</t>
        </is>
      </c>
      <c r="X6" s="12" t="inlineStr">
        <is>
          <t>Balance</t>
        </is>
      </c>
      <c r="Y6" s="12" t="inlineStr">
        <is>
          <t>Payment</t>
        </is>
      </c>
      <c r="Z6" s="12" t="inlineStr">
        <is>
          <t>Balance</t>
        </is>
      </c>
      <c r="AA6" s="12" t="inlineStr">
        <is>
          <t>Payment</t>
        </is>
      </c>
      <c r="AB6" s="12" t="inlineStr">
        <is>
          <t>Balance</t>
        </is>
      </c>
      <c r="AC6" s="12" t="inlineStr">
        <is>
          <t>Payment</t>
        </is>
      </c>
      <c r="AD6" s="12" t="inlineStr">
        <is>
          <t>Balance</t>
        </is>
      </c>
      <c r="AE6" s="12" t="inlineStr">
        <is>
          <t>Payment</t>
        </is>
      </c>
      <c r="AF6" s="12" t="inlineStr">
        <is>
          <t>Balance</t>
        </is>
      </c>
      <c r="AG6" s="12" t="inlineStr">
        <is>
          <t>Payment</t>
        </is>
      </c>
      <c r="AH6" s="12" t="inlineStr">
        <is>
          <t>Balance</t>
        </is>
      </c>
      <c r="AI6" s="12" t="inlineStr">
        <is>
          <t>Payment</t>
        </is>
      </c>
      <c r="AJ6" s="12" t="inlineStr">
        <is>
          <t>Balance</t>
        </is>
      </c>
    </row>
    <row r="7">
      <c r="B7" s="17" t="n">
        <v>1</v>
      </c>
      <c r="C7" s="19">
        <f>IF(Calc!$B$4=0,"",EDATE(Start!$D$11,0))</f>
        <v/>
      </c>
      <c r="D7" s="20">
        <f>IF(OR(Calc!$B$4=0,$B7&gt;IF(Start!$D$10="Avalanche",Calc!$B$3,Calc!$B$2)),"",SUM(G7,I7,K7,M7,O7,Q7,S7,U7,W7,Y7,AA7,AC7,AE7,AG7,AI7))</f>
        <v/>
      </c>
      <c r="E7" s="20">
        <f>IF(OR(Calc!$B$4=0,$B7&gt;IF(Start!$D$10="Avalanche",Calc!$B$3,Calc!$B$2)),"",IF(Start!$D$10="Avalanche",Calc!C$72,Calc!C$47))</f>
        <v/>
      </c>
      <c r="F7" s="21">
        <f>IF(Calc!$B$4=0,"",IF($B7&gt;IF(Start!$D$10="Avalanche",Calc!$B$3,Calc!$B$2),NA(),SUM(H7,J7,L7,N7,P7,R7,T7,V7,X7,Z7,AB7,AD7,AF7,AH7,AJ7)))</f>
        <v/>
      </c>
      <c r="G7" s="20">
        <f>IF(H7="","",Start!$D$14*(1+Start!$E$14/12)-H7)</f>
        <v/>
      </c>
      <c r="H7" s="20">
        <f>IF(OR(OR(Calc!$B$4=0,$B7&gt;IF(Start!$D$10="Avalanche",Calc!$B$3,Calc!$B$2)),Calc!$B$6=0),"",IF(Start!$D$14&lt;=0.005,"",IF(Start!$D$10="Avalanche",INDEX(Calc!E$75:E$89,Calc!$F$6),INDEX(Calc!E$50:E$64,Calc!$D$6))))</f>
        <v/>
      </c>
      <c r="I7" s="20">
        <f>IF(J7="","",Start!$D$15*(1+Start!$E$15/12)-J7)</f>
        <v/>
      </c>
      <c r="J7" s="20">
        <f>IF(OR(OR(Calc!$B$4=0,$B7&gt;IF(Start!$D$10="Avalanche",Calc!$B$3,Calc!$B$2)),Calc!$B$7=0),"",IF(Start!$D$15&lt;=0.005,"",IF(Start!$D$10="Avalanche",INDEX(Calc!E$75:E$89,Calc!$F$7),INDEX(Calc!E$50:E$64,Calc!$D$7))))</f>
        <v/>
      </c>
      <c r="K7" s="20">
        <f>IF(L7="","",Start!$D$16*(1+Start!$E$16/12)-L7)</f>
        <v/>
      </c>
      <c r="L7" s="20">
        <f>IF(OR(OR(Calc!$B$4=0,$B7&gt;IF(Start!$D$10="Avalanche",Calc!$B$3,Calc!$B$2)),Calc!$B$8=0),"",IF(Start!$D$16&lt;=0.005,"",IF(Start!$D$10="Avalanche",INDEX(Calc!E$75:E$89,Calc!$F$8),INDEX(Calc!E$50:E$64,Calc!$D$8))))</f>
        <v/>
      </c>
      <c r="M7" s="20">
        <f>IF(N7="","",Start!$D$17*(1+Start!$E$17/12)-N7)</f>
        <v/>
      </c>
      <c r="N7" s="20">
        <f>IF(OR(OR(Calc!$B$4=0,$B7&gt;IF(Start!$D$10="Avalanche",Calc!$B$3,Calc!$B$2)),Calc!$B$9=0),"",IF(Start!$D$17&lt;=0.005,"",IF(Start!$D$10="Avalanche",INDEX(Calc!E$75:E$89,Calc!$F$9),INDEX(Calc!E$50:E$64,Calc!$D$9))))</f>
        <v/>
      </c>
      <c r="O7" s="20">
        <f>IF(P7="","",Start!$D$18*(1+Start!$E$18/12)-P7)</f>
        <v/>
      </c>
      <c r="P7" s="20">
        <f>IF(OR(OR(Calc!$B$4=0,$B7&gt;IF(Start!$D$10="Avalanche",Calc!$B$3,Calc!$B$2)),Calc!$B$10=0),"",IF(Start!$D$18&lt;=0.005,"",IF(Start!$D$10="Avalanche",INDEX(Calc!E$75:E$89,Calc!$F$10),INDEX(Calc!E$50:E$64,Calc!$D$10))))</f>
        <v/>
      </c>
      <c r="Q7" s="20">
        <f>IF(R7="","",Start!$D$19*(1+Start!$E$19/12)-R7)</f>
        <v/>
      </c>
      <c r="R7" s="20">
        <f>IF(OR(OR(Calc!$B$4=0,$B7&gt;IF(Start!$D$10="Avalanche",Calc!$B$3,Calc!$B$2)),Calc!$B$11=0),"",IF(Start!$D$19&lt;=0.005,"",IF(Start!$D$10="Avalanche",INDEX(Calc!E$75:E$89,Calc!$F$11),INDEX(Calc!E$50:E$64,Calc!$D$11))))</f>
        <v/>
      </c>
      <c r="S7" s="20">
        <f>IF(T7="","",Start!$D$20*(1+Start!$E$20/12)-T7)</f>
        <v/>
      </c>
      <c r="T7" s="20">
        <f>IF(OR(OR(Calc!$B$4=0,$B7&gt;IF(Start!$D$10="Avalanche",Calc!$B$3,Calc!$B$2)),Calc!$B$12=0),"",IF(Start!$D$20&lt;=0.005,"",IF(Start!$D$10="Avalanche",INDEX(Calc!E$75:E$89,Calc!$F$12),INDEX(Calc!E$50:E$64,Calc!$D$12))))</f>
        <v/>
      </c>
      <c r="U7" s="20">
        <f>IF(V7="","",Start!$D$21*(1+Start!$E$21/12)-V7)</f>
        <v/>
      </c>
      <c r="V7" s="20">
        <f>IF(OR(OR(Calc!$B$4=0,$B7&gt;IF(Start!$D$10="Avalanche",Calc!$B$3,Calc!$B$2)),Calc!$B$13=0),"",IF(Start!$D$21&lt;=0.005,"",IF(Start!$D$10="Avalanche",INDEX(Calc!E$75:E$89,Calc!$F$13),INDEX(Calc!E$50:E$64,Calc!$D$13))))</f>
        <v/>
      </c>
      <c r="W7" s="20">
        <f>IF(X7="","",Start!$D$22*(1+Start!$E$22/12)-X7)</f>
        <v/>
      </c>
      <c r="X7" s="20">
        <f>IF(OR(OR(Calc!$B$4=0,$B7&gt;IF(Start!$D$10="Avalanche",Calc!$B$3,Calc!$B$2)),Calc!$B$14=0),"",IF(Start!$D$22&lt;=0.005,"",IF(Start!$D$10="Avalanche",INDEX(Calc!E$75:E$89,Calc!$F$14),INDEX(Calc!E$50:E$64,Calc!$D$14))))</f>
        <v/>
      </c>
      <c r="Y7" s="20">
        <f>IF(Z7="","",Start!$D$23*(1+Start!$E$23/12)-Z7)</f>
        <v/>
      </c>
      <c r="Z7" s="20">
        <f>IF(OR(OR(Calc!$B$4=0,$B7&gt;IF(Start!$D$10="Avalanche",Calc!$B$3,Calc!$B$2)),Calc!$B$15=0),"",IF(Start!$D$23&lt;=0.005,"",IF(Start!$D$10="Avalanche",INDEX(Calc!E$75:E$89,Calc!$F$15),INDEX(Calc!E$50:E$64,Calc!$D$15))))</f>
        <v/>
      </c>
      <c r="AA7" s="20">
        <f>IF(AB7="","",Start!$D$24*(1+Start!$E$24/12)-AB7)</f>
        <v/>
      </c>
      <c r="AB7" s="20">
        <f>IF(OR(OR(Calc!$B$4=0,$B7&gt;IF(Start!$D$10="Avalanche",Calc!$B$3,Calc!$B$2)),Calc!$B$16=0),"",IF(Start!$D$24&lt;=0.005,"",IF(Start!$D$10="Avalanche",INDEX(Calc!E$75:E$89,Calc!$F$16),INDEX(Calc!E$50:E$64,Calc!$D$16))))</f>
        <v/>
      </c>
      <c r="AC7" s="20">
        <f>IF(AD7="","",Start!$D$25*(1+Start!$E$25/12)-AD7)</f>
        <v/>
      </c>
      <c r="AD7" s="20">
        <f>IF(OR(OR(Calc!$B$4=0,$B7&gt;IF(Start!$D$10="Avalanche",Calc!$B$3,Calc!$B$2)),Calc!$B$17=0),"",IF(Start!$D$25&lt;=0.005,"",IF(Start!$D$10="Avalanche",INDEX(Calc!E$75:E$89,Calc!$F$17),INDEX(Calc!E$50:E$64,Calc!$D$17))))</f>
        <v/>
      </c>
      <c r="AE7" s="20">
        <f>IF(AF7="","",Start!$D$26*(1+Start!$E$26/12)-AF7)</f>
        <v/>
      </c>
      <c r="AF7" s="20">
        <f>IF(OR(OR(Calc!$B$4=0,$B7&gt;IF(Start!$D$10="Avalanche",Calc!$B$3,Calc!$B$2)),Calc!$B$18=0),"",IF(Start!$D$26&lt;=0.005,"",IF(Start!$D$10="Avalanche",INDEX(Calc!E$75:E$89,Calc!$F$18),INDEX(Calc!E$50:E$64,Calc!$D$18))))</f>
        <v/>
      </c>
      <c r="AG7" s="20">
        <f>IF(AH7="","",Start!$D$27*(1+Start!$E$27/12)-AH7)</f>
        <v/>
      </c>
      <c r="AH7" s="20">
        <f>IF(OR(OR(Calc!$B$4=0,$B7&gt;IF(Start!$D$10="Avalanche",Calc!$B$3,Calc!$B$2)),Calc!$B$19=0),"",IF(Start!$D$27&lt;=0.005,"",IF(Start!$D$10="Avalanche",INDEX(Calc!E$75:E$89,Calc!$F$19),INDEX(Calc!E$50:E$64,Calc!$D$19))))</f>
        <v/>
      </c>
      <c r="AI7" s="20">
        <f>IF(AJ7="","",Start!$D$28*(1+Start!$E$28/12)-AJ7)</f>
        <v/>
      </c>
      <c r="AJ7" s="20">
        <f>IF(OR(OR(Calc!$B$4=0,$B7&gt;IF(Start!$D$10="Avalanche",Calc!$B$3,Calc!$B$2)),Calc!$B$20=0),"",IF(Start!$D$28&lt;=0.005,"",IF(Start!$D$10="Avalanche",INDEX(Calc!E$75:E$89,Calc!$F$20),INDEX(Calc!E$50:E$64,Calc!$D$20))))</f>
        <v/>
      </c>
    </row>
    <row r="8">
      <c r="B8" s="17" t="n">
        <v>2</v>
      </c>
      <c r="C8" s="19">
        <f>IF(Calc!$B$4=0,"",EDATE(Start!$D$11,1))</f>
        <v/>
      </c>
      <c r="D8" s="20">
        <f>IF(OR(Calc!$B$4=0,$B8&gt;IF(Start!$D$10="Avalanche",Calc!$B$3,Calc!$B$2)),"",SUM(G8,I8,K8,M8,O8,Q8,S8,U8,W8,Y8,AA8,AC8,AE8,AG8,AI8))</f>
        <v/>
      </c>
      <c r="E8" s="20">
        <f>IF(OR(Calc!$B$4=0,$B8&gt;IF(Start!$D$10="Avalanche",Calc!$B$3,Calc!$B$2)),"",IF(Start!$D$10="Avalanche",Calc!F$72,Calc!F$47))</f>
        <v/>
      </c>
      <c r="F8" s="21">
        <f>IF(Calc!$B$4=0,"",IF($B8&gt;IF(Start!$D$10="Avalanche",Calc!$B$3,Calc!$B$2),NA(),SUM(H8,J8,L8,N8,P8,R8,T8,V8,X8,Z8,AB8,AD8,AF8,AH8,AJ8)))</f>
        <v/>
      </c>
      <c r="G8" s="20">
        <f>IF(H8="","",N(H7)*(1+Start!$E$14/12)-H8)</f>
        <v/>
      </c>
      <c r="H8" s="20">
        <f>IF(OR(OR(Calc!$B$4=0,$B8&gt;IF(Start!$D$10="Avalanche",Calc!$B$3,Calc!$B$2)),Calc!$B$6=0),"",IF(N(H7)&lt;=0.005,"",IF(Start!$D$10="Avalanche",INDEX(Calc!H$75:H$89,Calc!$F$6),INDEX(Calc!H$50:H$64,Calc!$D$6))))</f>
        <v/>
      </c>
      <c r="I8" s="20">
        <f>IF(J8="","",N(J7)*(1+Start!$E$15/12)-J8)</f>
        <v/>
      </c>
      <c r="J8" s="20">
        <f>IF(OR(OR(Calc!$B$4=0,$B8&gt;IF(Start!$D$10="Avalanche",Calc!$B$3,Calc!$B$2)),Calc!$B$7=0),"",IF(N(J7)&lt;=0.005,"",IF(Start!$D$10="Avalanche",INDEX(Calc!H$75:H$89,Calc!$F$7),INDEX(Calc!H$50:H$64,Calc!$D$7))))</f>
        <v/>
      </c>
      <c r="K8" s="20">
        <f>IF(L8="","",N(L7)*(1+Start!$E$16/12)-L8)</f>
        <v/>
      </c>
      <c r="L8" s="20">
        <f>IF(OR(OR(Calc!$B$4=0,$B8&gt;IF(Start!$D$10="Avalanche",Calc!$B$3,Calc!$B$2)),Calc!$B$8=0),"",IF(N(L7)&lt;=0.005,"",IF(Start!$D$10="Avalanche",INDEX(Calc!H$75:H$89,Calc!$F$8),INDEX(Calc!H$50:H$64,Calc!$D$8))))</f>
        <v/>
      </c>
      <c r="M8" s="20">
        <f>IF(N8="","",N(N7)*(1+Start!$E$17/12)-N8)</f>
        <v/>
      </c>
      <c r="N8" s="20">
        <f>IF(OR(OR(Calc!$B$4=0,$B8&gt;IF(Start!$D$10="Avalanche",Calc!$B$3,Calc!$B$2)),Calc!$B$9=0),"",IF(N(N7)&lt;=0.005,"",IF(Start!$D$10="Avalanche",INDEX(Calc!H$75:H$89,Calc!$F$9),INDEX(Calc!H$50:H$64,Calc!$D$9))))</f>
        <v/>
      </c>
      <c r="O8" s="20">
        <f>IF(P8="","",N(P7)*(1+Start!$E$18/12)-P8)</f>
        <v/>
      </c>
      <c r="P8" s="20">
        <f>IF(OR(OR(Calc!$B$4=0,$B8&gt;IF(Start!$D$10="Avalanche",Calc!$B$3,Calc!$B$2)),Calc!$B$10=0),"",IF(N(P7)&lt;=0.005,"",IF(Start!$D$10="Avalanche",INDEX(Calc!H$75:H$89,Calc!$F$10),INDEX(Calc!H$50:H$64,Calc!$D$10))))</f>
        <v/>
      </c>
      <c r="Q8" s="20">
        <f>IF(R8="","",N(R7)*(1+Start!$E$19/12)-R8)</f>
        <v/>
      </c>
      <c r="R8" s="20">
        <f>IF(OR(OR(Calc!$B$4=0,$B8&gt;IF(Start!$D$10="Avalanche",Calc!$B$3,Calc!$B$2)),Calc!$B$11=0),"",IF(N(R7)&lt;=0.005,"",IF(Start!$D$10="Avalanche",INDEX(Calc!H$75:H$89,Calc!$F$11),INDEX(Calc!H$50:H$64,Calc!$D$11))))</f>
        <v/>
      </c>
      <c r="S8" s="20">
        <f>IF(T8="","",N(T7)*(1+Start!$E$20/12)-T8)</f>
        <v/>
      </c>
      <c r="T8" s="20">
        <f>IF(OR(OR(Calc!$B$4=0,$B8&gt;IF(Start!$D$10="Avalanche",Calc!$B$3,Calc!$B$2)),Calc!$B$12=0),"",IF(N(T7)&lt;=0.005,"",IF(Start!$D$10="Avalanche",INDEX(Calc!H$75:H$89,Calc!$F$12),INDEX(Calc!H$50:H$64,Calc!$D$12))))</f>
        <v/>
      </c>
      <c r="U8" s="20">
        <f>IF(V8="","",N(V7)*(1+Start!$E$21/12)-V8)</f>
        <v/>
      </c>
      <c r="V8" s="20">
        <f>IF(OR(OR(Calc!$B$4=0,$B8&gt;IF(Start!$D$10="Avalanche",Calc!$B$3,Calc!$B$2)),Calc!$B$13=0),"",IF(N(V7)&lt;=0.005,"",IF(Start!$D$10="Avalanche",INDEX(Calc!H$75:H$89,Calc!$F$13),INDEX(Calc!H$50:H$64,Calc!$D$13))))</f>
        <v/>
      </c>
      <c r="W8" s="20">
        <f>IF(X8="","",N(X7)*(1+Start!$E$22/12)-X8)</f>
        <v/>
      </c>
      <c r="X8" s="20">
        <f>IF(OR(OR(Calc!$B$4=0,$B8&gt;IF(Start!$D$10="Avalanche",Calc!$B$3,Calc!$B$2)),Calc!$B$14=0),"",IF(N(X7)&lt;=0.005,"",IF(Start!$D$10="Avalanche",INDEX(Calc!H$75:H$89,Calc!$F$14),INDEX(Calc!H$50:H$64,Calc!$D$14))))</f>
        <v/>
      </c>
      <c r="Y8" s="20">
        <f>IF(Z8="","",N(Z7)*(1+Start!$E$23/12)-Z8)</f>
        <v/>
      </c>
      <c r="Z8" s="20">
        <f>IF(OR(OR(Calc!$B$4=0,$B8&gt;IF(Start!$D$10="Avalanche",Calc!$B$3,Calc!$B$2)),Calc!$B$15=0),"",IF(N(Z7)&lt;=0.005,"",IF(Start!$D$10="Avalanche",INDEX(Calc!H$75:H$89,Calc!$F$15),INDEX(Calc!H$50:H$64,Calc!$D$15))))</f>
        <v/>
      </c>
      <c r="AA8" s="20">
        <f>IF(AB8="","",N(AB7)*(1+Start!$E$24/12)-AB8)</f>
        <v/>
      </c>
      <c r="AB8" s="20">
        <f>IF(OR(OR(Calc!$B$4=0,$B8&gt;IF(Start!$D$10="Avalanche",Calc!$B$3,Calc!$B$2)),Calc!$B$16=0),"",IF(N(AB7)&lt;=0.005,"",IF(Start!$D$10="Avalanche",INDEX(Calc!H$75:H$89,Calc!$F$16),INDEX(Calc!H$50:H$64,Calc!$D$16))))</f>
        <v/>
      </c>
      <c r="AC8" s="20">
        <f>IF(AD8="","",N(AD7)*(1+Start!$E$25/12)-AD8)</f>
        <v/>
      </c>
      <c r="AD8" s="20">
        <f>IF(OR(OR(Calc!$B$4=0,$B8&gt;IF(Start!$D$10="Avalanche",Calc!$B$3,Calc!$B$2)),Calc!$B$17=0),"",IF(N(AD7)&lt;=0.005,"",IF(Start!$D$10="Avalanche",INDEX(Calc!H$75:H$89,Calc!$F$17),INDEX(Calc!H$50:H$64,Calc!$D$17))))</f>
        <v/>
      </c>
      <c r="AE8" s="20">
        <f>IF(AF8="","",N(AF7)*(1+Start!$E$26/12)-AF8)</f>
        <v/>
      </c>
      <c r="AF8" s="20">
        <f>IF(OR(OR(Calc!$B$4=0,$B8&gt;IF(Start!$D$10="Avalanche",Calc!$B$3,Calc!$B$2)),Calc!$B$18=0),"",IF(N(AF7)&lt;=0.005,"",IF(Start!$D$10="Avalanche",INDEX(Calc!H$75:H$89,Calc!$F$18),INDEX(Calc!H$50:H$64,Calc!$D$18))))</f>
        <v/>
      </c>
      <c r="AG8" s="20">
        <f>IF(AH8="","",N(AH7)*(1+Start!$E$27/12)-AH8)</f>
        <v/>
      </c>
      <c r="AH8" s="20">
        <f>IF(OR(OR(Calc!$B$4=0,$B8&gt;IF(Start!$D$10="Avalanche",Calc!$B$3,Calc!$B$2)),Calc!$B$19=0),"",IF(N(AH7)&lt;=0.005,"",IF(Start!$D$10="Avalanche",INDEX(Calc!H$75:H$89,Calc!$F$19),INDEX(Calc!H$50:H$64,Calc!$D$19))))</f>
        <v/>
      </c>
      <c r="AI8" s="20">
        <f>IF(AJ8="","",N(AJ7)*(1+Start!$E$28/12)-AJ8)</f>
        <v/>
      </c>
      <c r="AJ8" s="20">
        <f>IF(OR(OR(Calc!$B$4=0,$B8&gt;IF(Start!$D$10="Avalanche",Calc!$B$3,Calc!$B$2)),Calc!$B$20=0),"",IF(N(AJ7)&lt;=0.005,"",IF(Start!$D$10="Avalanche",INDEX(Calc!H$75:H$89,Calc!$F$20),INDEX(Calc!H$50:H$64,Calc!$D$20))))</f>
        <v/>
      </c>
    </row>
    <row r="9">
      <c r="B9" s="17" t="n">
        <v>3</v>
      </c>
      <c r="C9" s="19">
        <f>IF(Calc!$B$4=0,"",EDATE(Start!$D$11,2))</f>
        <v/>
      </c>
      <c r="D9" s="20">
        <f>IF(OR(Calc!$B$4=0,$B9&gt;IF(Start!$D$10="Avalanche",Calc!$B$3,Calc!$B$2)),"",SUM(G9,I9,K9,M9,O9,Q9,S9,U9,W9,Y9,AA9,AC9,AE9,AG9,AI9))</f>
        <v/>
      </c>
      <c r="E9" s="20">
        <f>IF(OR(Calc!$B$4=0,$B9&gt;IF(Start!$D$10="Avalanche",Calc!$B$3,Calc!$B$2)),"",IF(Start!$D$10="Avalanche",Calc!I$72,Calc!I$47))</f>
        <v/>
      </c>
      <c r="F9" s="21">
        <f>IF(Calc!$B$4=0,"",IF($B9&gt;IF(Start!$D$10="Avalanche",Calc!$B$3,Calc!$B$2),NA(),SUM(H9,J9,L9,N9,P9,R9,T9,V9,X9,Z9,AB9,AD9,AF9,AH9,AJ9)))</f>
        <v/>
      </c>
      <c r="G9" s="20">
        <f>IF(H9="","",N(H8)*(1+Start!$E$14/12)-H9)</f>
        <v/>
      </c>
      <c r="H9" s="20">
        <f>IF(OR(OR(Calc!$B$4=0,$B9&gt;IF(Start!$D$10="Avalanche",Calc!$B$3,Calc!$B$2)),Calc!$B$6=0),"",IF(N(H8)&lt;=0.005,"",IF(Start!$D$10="Avalanche",INDEX(Calc!K$75:K$89,Calc!$F$6),INDEX(Calc!K$50:K$64,Calc!$D$6))))</f>
        <v/>
      </c>
      <c r="I9" s="20">
        <f>IF(J9="","",N(J8)*(1+Start!$E$15/12)-J9)</f>
        <v/>
      </c>
      <c r="J9" s="20">
        <f>IF(OR(OR(Calc!$B$4=0,$B9&gt;IF(Start!$D$10="Avalanche",Calc!$B$3,Calc!$B$2)),Calc!$B$7=0),"",IF(N(J8)&lt;=0.005,"",IF(Start!$D$10="Avalanche",INDEX(Calc!K$75:K$89,Calc!$F$7),INDEX(Calc!K$50:K$64,Calc!$D$7))))</f>
        <v/>
      </c>
      <c r="K9" s="20">
        <f>IF(L9="","",N(L8)*(1+Start!$E$16/12)-L9)</f>
        <v/>
      </c>
      <c r="L9" s="20">
        <f>IF(OR(OR(Calc!$B$4=0,$B9&gt;IF(Start!$D$10="Avalanche",Calc!$B$3,Calc!$B$2)),Calc!$B$8=0),"",IF(N(L8)&lt;=0.005,"",IF(Start!$D$10="Avalanche",INDEX(Calc!K$75:K$89,Calc!$F$8),INDEX(Calc!K$50:K$64,Calc!$D$8))))</f>
        <v/>
      </c>
      <c r="M9" s="20">
        <f>IF(N9="","",N(N8)*(1+Start!$E$17/12)-N9)</f>
        <v/>
      </c>
      <c r="N9" s="20">
        <f>IF(OR(OR(Calc!$B$4=0,$B9&gt;IF(Start!$D$10="Avalanche",Calc!$B$3,Calc!$B$2)),Calc!$B$9=0),"",IF(N(N8)&lt;=0.005,"",IF(Start!$D$10="Avalanche",INDEX(Calc!K$75:K$89,Calc!$F$9),INDEX(Calc!K$50:K$64,Calc!$D$9))))</f>
        <v/>
      </c>
      <c r="O9" s="20">
        <f>IF(P9="","",N(P8)*(1+Start!$E$18/12)-P9)</f>
        <v/>
      </c>
      <c r="P9" s="20">
        <f>IF(OR(OR(Calc!$B$4=0,$B9&gt;IF(Start!$D$10="Avalanche",Calc!$B$3,Calc!$B$2)),Calc!$B$10=0),"",IF(N(P8)&lt;=0.005,"",IF(Start!$D$10="Avalanche",INDEX(Calc!K$75:K$89,Calc!$F$10),INDEX(Calc!K$50:K$64,Calc!$D$10))))</f>
        <v/>
      </c>
      <c r="Q9" s="20">
        <f>IF(R9="","",N(R8)*(1+Start!$E$19/12)-R9)</f>
        <v/>
      </c>
      <c r="R9" s="20">
        <f>IF(OR(OR(Calc!$B$4=0,$B9&gt;IF(Start!$D$10="Avalanche",Calc!$B$3,Calc!$B$2)),Calc!$B$11=0),"",IF(N(R8)&lt;=0.005,"",IF(Start!$D$10="Avalanche",INDEX(Calc!K$75:K$89,Calc!$F$11),INDEX(Calc!K$50:K$64,Calc!$D$11))))</f>
        <v/>
      </c>
      <c r="S9" s="20">
        <f>IF(T9="","",N(T8)*(1+Start!$E$20/12)-T9)</f>
        <v/>
      </c>
      <c r="T9" s="20">
        <f>IF(OR(OR(Calc!$B$4=0,$B9&gt;IF(Start!$D$10="Avalanche",Calc!$B$3,Calc!$B$2)),Calc!$B$12=0),"",IF(N(T8)&lt;=0.005,"",IF(Start!$D$10="Avalanche",INDEX(Calc!K$75:K$89,Calc!$F$12),INDEX(Calc!K$50:K$64,Calc!$D$12))))</f>
        <v/>
      </c>
      <c r="U9" s="20">
        <f>IF(V9="","",N(V8)*(1+Start!$E$21/12)-V9)</f>
        <v/>
      </c>
      <c r="V9" s="20">
        <f>IF(OR(OR(Calc!$B$4=0,$B9&gt;IF(Start!$D$10="Avalanche",Calc!$B$3,Calc!$B$2)),Calc!$B$13=0),"",IF(N(V8)&lt;=0.005,"",IF(Start!$D$10="Avalanche",INDEX(Calc!K$75:K$89,Calc!$F$13),INDEX(Calc!K$50:K$64,Calc!$D$13))))</f>
        <v/>
      </c>
      <c r="W9" s="20">
        <f>IF(X9="","",N(X8)*(1+Start!$E$22/12)-X9)</f>
        <v/>
      </c>
      <c r="X9" s="20">
        <f>IF(OR(OR(Calc!$B$4=0,$B9&gt;IF(Start!$D$10="Avalanche",Calc!$B$3,Calc!$B$2)),Calc!$B$14=0),"",IF(N(X8)&lt;=0.005,"",IF(Start!$D$10="Avalanche",INDEX(Calc!K$75:K$89,Calc!$F$14),INDEX(Calc!K$50:K$64,Calc!$D$14))))</f>
        <v/>
      </c>
      <c r="Y9" s="20">
        <f>IF(Z9="","",N(Z8)*(1+Start!$E$23/12)-Z9)</f>
        <v/>
      </c>
      <c r="Z9" s="20">
        <f>IF(OR(OR(Calc!$B$4=0,$B9&gt;IF(Start!$D$10="Avalanche",Calc!$B$3,Calc!$B$2)),Calc!$B$15=0),"",IF(N(Z8)&lt;=0.005,"",IF(Start!$D$10="Avalanche",INDEX(Calc!K$75:K$89,Calc!$F$15),INDEX(Calc!K$50:K$64,Calc!$D$15))))</f>
        <v/>
      </c>
      <c r="AA9" s="20">
        <f>IF(AB9="","",N(AB8)*(1+Start!$E$24/12)-AB9)</f>
        <v/>
      </c>
      <c r="AB9" s="20">
        <f>IF(OR(OR(Calc!$B$4=0,$B9&gt;IF(Start!$D$10="Avalanche",Calc!$B$3,Calc!$B$2)),Calc!$B$16=0),"",IF(N(AB8)&lt;=0.005,"",IF(Start!$D$10="Avalanche",INDEX(Calc!K$75:K$89,Calc!$F$16),INDEX(Calc!K$50:K$64,Calc!$D$16))))</f>
        <v/>
      </c>
      <c r="AC9" s="20">
        <f>IF(AD9="","",N(AD8)*(1+Start!$E$25/12)-AD9)</f>
        <v/>
      </c>
      <c r="AD9" s="20">
        <f>IF(OR(OR(Calc!$B$4=0,$B9&gt;IF(Start!$D$10="Avalanche",Calc!$B$3,Calc!$B$2)),Calc!$B$17=0),"",IF(N(AD8)&lt;=0.005,"",IF(Start!$D$10="Avalanche",INDEX(Calc!K$75:K$89,Calc!$F$17),INDEX(Calc!K$50:K$64,Calc!$D$17))))</f>
        <v/>
      </c>
      <c r="AE9" s="20">
        <f>IF(AF9="","",N(AF8)*(1+Start!$E$26/12)-AF9)</f>
        <v/>
      </c>
      <c r="AF9" s="20">
        <f>IF(OR(OR(Calc!$B$4=0,$B9&gt;IF(Start!$D$10="Avalanche",Calc!$B$3,Calc!$B$2)),Calc!$B$18=0),"",IF(N(AF8)&lt;=0.005,"",IF(Start!$D$10="Avalanche",INDEX(Calc!K$75:K$89,Calc!$F$18),INDEX(Calc!K$50:K$64,Calc!$D$18))))</f>
        <v/>
      </c>
      <c r="AG9" s="20">
        <f>IF(AH9="","",N(AH8)*(1+Start!$E$27/12)-AH9)</f>
        <v/>
      </c>
      <c r="AH9" s="20">
        <f>IF(OR(OR(Calc!$B$4=0,$B9&gt;IF(Start!$D$10="Avalanche",Calc!$B$3,Calc!$B$2)),Calc!$B$19=0),"",IF(N(AH8)&lt;=0.005,"",IF(Start!$D$10="Avalanche",INDEX(Calc!K$75:K$89,Calc!$F$19),INDEX(Calc!K$50:K$64,Calc!$D$19))))</f>
        <v/>
      </c>
      <c r="AI9" s="20">
        <f>IF(AJ9="","",N(AJ8)*(1+Start!$E$28/12)-AJ9)</f>
        <v/>
      </c>
      <c r="AJ9" s="20">
        <f>IF(OR(OR(Calc!$B$4=0,$B9&gt;IF(Start!$D$10="Avalanche",Calc!$B$3,Calc!$B$2)),Calc!$B$20=0),"",IF(N(AJ8)&lt;=0.005,"",IF(Start!$D$10="Avalanche",INDEX(Calc!K$75:K$89,Calc!$F$20),INDEX(Calc!K$50:K$64,Calc!$D$20))))</f>
        <v/>
      </c>
    </row>
    <row r="10">
      <c r="B10" s="17" t="n">
        <v>4</v>
      </c>
      <c r="C10" s="19">
        <f>IF(Calc!$B$4=0,"",EDATE(Start!$D$11,3))</f>
        <v/>
      </c>
      <c r="D10" s="20">
        <f>IF(OR(Calc!$B$4=0,$B10&gt;IF(Start!$D$10="Avalanche",Calc!$B$3,Calc!$B$2)),"",SUM(G10,I10,K10,M10,O10,Q10,S10,U10,W10,Y10,AA10,AC10,AE10,AG10,AI10))</f>
        <v/>
      </c>
      <c r="E10" s="20">
        <f>IF(OR(Calc!$B$4=0,$B10&gt;IF(Start!$D$10="Avalanche",Calc!$B$3,Calc!$B$2)),"",IF(Start!$D$10="Avalanche",Calc!L$72,Calc!L$47))</f>
        <v/>
      </c>
      <c r="F10" s="21">
        <f>IF(Calc!$B$4=0,"",IF($B10&gt;IF(Start!$D$10="Avalanche",Calc!$B$3,Calc!$B$2),NA(),SUM(H10,J10,L10,N10,P10,R10,T10,V10,X10,Z10,AB10,AD10,AF10,AH10,AJ10)))</f>
        <v/>
      </c>
      <c r="G10" s="20">
        <f>IF(H10="","",N(H9)*(1+Start!$E$14/12)-H10)</f>
        <v/>
      </c>
      <c r="H10" s="20">
        <f>IF(OR(OR(Calc!$B$4=0,$B10&gt;IF(Start!$D$10="Avalanche",Calc!$B$3,Calc!$B$2)),Calc!$B$6=0),"",IF(N(H9)&lt;=0.005,"",IF(Start!$D$10="Avalanche",INDEX(Calc!N$75:N$89,Calc!$F$6),INDEX(Calc!N$50:N$64,Calc!$D$6))))</f>
        <v/>
      </c>
      <c r="I10" s="20">
        <f>IF(J10="","",N(J9)*(1+Start!$E$15/12)-J10)</f>
        <v/>
      </c>
      <c r="J10" s="20">
        <f>IF(OR(OR(Calc!$B$4=0,$B10&gt;IF(Start!$D$10="Avalanche",Calc!$B$3,Calc!$B$2)),Calc!$B$7=0),"",IF(N(J9)&lt;=0.005,"",IF(Start!$D$10="Avalanche",INDEX(Calc!N$75:N$89,Calc!$F$7),INDEX(Calc!N$50:N$64,Calc!$D$7))))</f>
        <v/>
      </c>
      <c r="K10" s="20">
        <f>IF(L10="","",N(L9)*(1+Start!$E$16/12)-L10)</f>
        <v/>
      </c>
      <c r="L10" s="20">
        <f>IF(OR(OR(Calc!$B$4=0,$B10&gt;IF(Start!$D$10="Avalanche",Calc!$B$3,Calc!$B$2)),Calc!$B$8=0),"",IF(N(L9)&lt;=0.005,"",IF(Start!$D$10="Avalanche",INDEX(Calc!N$75:N$89,Calc!$F$8),INDEX(Calc!N$50:N$64,Calc!$D$8))))</f>
        <v/>
      </c>
      <c r="M10" s="20">
        <f>IF(N10="","",N(N9)*(1+Start!$E$17/12)-N10)</f>
        <v/>
      </c>
      <c r="N10" s="20">
        <f>IF(OR(OR(Calc!$B$4=0,$B10&gt;IF(Start!$D$10="Avalanche",Calc!$B$3,Calc!$B$2)),Calc!$B$9=0),"",IF(N(N9)&lt;=0.005,"",IF(Start!$D$10="Avalanche",INDEX(Calc!N$75:N$89,Calc!$F$9),INDEX(Calc!N$50:N$64,Calc!$D$9))))</f>
        <v/>
      </c>
      <c r="O10" s="20">
        <f>IF(P10="","",N(P9)*(1+Start!$E$18/12)-P10)</f>
        <v/>
      </c>
      <c r="P10" s="20">
        <f>IF(OR(OR(Calc!$B$4=0,$B10&gt;IF(Start!$D$10="Avalanche",Calc!$B$3,Calc!$B$2)),Calc!$B$10=0),"",IF(N(P9)&lt;=0.005,"",IF(Start!$D$10="Avalanche",INDEX(Calc!N$75:N$89,Calc!$F$10),INDEX(Calc!N$50:N$64,Calc!$D$10))))</f>
        <v/>
      </c>
      <c r="Q10" s="20">
        <f>IF(R10="","",N(R9)*(1+Start!$E$19/12)-R10)</f>
        <v/>
      </c>
      <c r="R10" s="20">
        <f>IF(OR(OR(Calc!$B$4=0,$B10&gt;IF(Start!$D$10="Avalanche",Calc!$B$3,Calc!$B$2)),Calc!$B$11=0),"",IF(N(R9)&lt;=0.005,"",IF(Start!$D$10="Avalanche",INDEX(Calc!N$75:N$89,Calc!$F$11),INDEX(Calc!N$50:N$64,Calc!$D$11))))</f>
        <v/>
      </c>
      <c r="S10" s="20">
        <f>IF(T10="","",N(T9)*(1+Start!$E$20/12)-T10)</f>
        <v/>
      </c>
      <c r="T10" s="20">
        <f>IF(OR(OR(Calc!$B$4=0,$B10&gt;IF(Start!$D$10="Avalanche",Calc!$B$3,Calc!$B$2)),Calc!$B$12=0),"",IF(N(T9)&lt;=0.005,"",IF(Start!$D$10="Avalanche",INDEX(Calc!N$75:N$89,Calc!$F$12),INDEX(Calc!N$50:N$64,Calc!$D$12))))</f>
        <v/>
      </c>
      <c r="U10" s="20">
        <f>IF(V10="","",N(V9)*(1+Start!$E$21/12)-V10)</f>
        <v/>
      </c>
      <c r="V10" s="20">
        <f>IF(OR(OR(Calc!$B$4=0,$B10&gt;IF(Start!$D$10="Avalanche",Calc!$B$3,Calc!$B$2)),Calc!$B$13=0),"",IF(N(V9)&lt;=0.005,"",IF(Start!$D$10="Avalanche",INDEX(Calc!N$75:N$89,Calc!$F$13),INDEX(Calc!N$50:N$64,Calc!$D$13))))</f>
        <v/>
      </c>
      <c r="W10" s="20">
        <f>IF(X10="","",N(X9)*(1+Start!$E$22/12)-X10)</f>
        <v/>
      </c>
      <c r="X10" s="20">
        <f>IF(OR(OR(Calc!$B$4=0,$B10&gt;IF(Start!$D$10="Avalanche",Calc!$B$3,Calc!$B$2)),Calc!$B$14=0),"",IF(N(X9)&lt;=0.005,"",IF(Start!$D$10="Avalanche",INDEX(Calc!N$75:N$89,Calc!$F$14),INDEX(Calc!N$50:N$64,Calc!$D$14))))</f>
        <v/>
      </c>
      <c r="Y10" s="20">
        <f>IF(Z10="","",N(Z9)*(1+Start!$E$23/12)-Z10)</f>
        <v/>
      </c>
      <c r="Z10" s="20">
        <f>IF(OR(OR(Calc!$B$4=0,$B10&gt;IF(Start!$D$10="Avalanche",Calc!$B$3,Calc!$B$2)),Calc!$B$15=0),"",IF(N(Z9)&lt;=0.005,"",IF(Start!$D$10="Avalanche",INDEX(Calc!N$75:N$89,Calc!$F$15),INDEX(Calc!N$50:N$64,Calc!$D$15))))</f>
        <v/>
      </c>
      <c r="AA10" s="20">
        <f>IF(AB10="","",N(AB9)*(1+Start!$E$24/12)-AB10)</f>
        <v/>
      </c>
      <c r="AB10" s="20">
        <f>IF(OR(OR(Calc!$B$4=0,$B10&gt;IF(Start!$D$10="Avalanche",Calc!$B$3,Calc!$B$2)),Calc!$B$16=0),"",IF(N(AB9)&lt;=0.005,"",IF(Start!$D$10="Avalanche",INDEX(Calc!N$75:N$89,Calc!$F$16),INDEX(Calc!N$50:N$64,Calc!$D$16))))</f>
        <v/>
      </c>
      <c r="AC10" s="20">
        <f>IF(AD10="","",N(AD9)*(1+Start!$E$25/12)-AD10)</f>
        <v/>
      </c>
      <c r="AD10" s="20">
        <f>IF(OR(OR(Calc!$B$4=0,$B10&gt;IF(Start!$D$10="Avalanche",Calc!$B$3,Calc!$B$2)),Calc!$B$17=0),"",IF(N(AD9)&lt;=0.005,"",IF(Start!$D$10="Avalanche",INDEX(Calc!N$75:N$89,Calc!$F$17),INDEX(Calc!N$50:N$64,Calc!$D$17))))</f>
        <v/>
      </c>
      <c r="AE10" s="20">
        <f>IF(AF10="","",N(AF9)*(1+Start!$E$26/12)-AF10)</f>
        <v/>
      </c>
      <c r="AF10" s="20">
        <f>IF(OR(OR(Calc!$B$4=0,$B10&gt;IF(Start!$D$10="Avalanche",Calc!$B$3,Calc!$B$2)),Calc!$B$18=0),"",IF(N(AF9)&lt;=0.005,"",IF(Start!$D$10="Avalanche",INDEX(Calc!N$75:N$89,Calc!$F$18),INDEX(Calc!N$50:N$64,Calc!$D$18))))</f>
        <v/>
      </c>
      <c r="AG10" s="20">
        <f>IF(AH10="","",N(AH9)*(1+Start!$E$27/12)-AH10)</f>
        <v/>
      </c>
      <c r="AH10" s="20">
        <f>IF(OR(OR(Calc!$B$4=0,$B10&gt;IF(Start!$D$10="Avalanche",Calc!$B$3,Calc!$B$2)),Calc!$B$19=0),"",IF(N(AH9)&lt;=0.005,"",IF(Start!$D$10="Avalanche",INDEX(Calc!N$75:N$89,Calc!$F$19),INDEX(Calc!N$50:N$64,Calc!$D$19))))</f>
        <v/>
      </c>
      <c r="AI10" s="20">
        <f>IF(AJ10="","",N(AJ9)*(1+Start!$E$28/12)-AJ10)</f>
        <v/>
      </c>
      <c r="AJ10" s="20">
        <f>IF(OR(OR(Calc!$B$4=0,$B10&gt;IF(Start!$D$10="Avalanche",Calc!$B$3,Calc!$B$2)),Calc!$B$20=0),"",IF(N(AJ9)&lt;=0.005,"",IF(Start!$D$10="Avalanche",INDEX(Calc!N$75:N$89,Calc!$F$20),INDEX(Calc!N$50:N$64,Calc!$D$20))))</f>
        <v/>
      </c>
    </row>
    <row r="11">
      <c r="B11" s="17" t="n">
        <v>5</v>
      </c>
      <c r="C11" s="19">
        <f>IF(Calc!$B$4=0,"",EDATE(Start!$D$11,4))</f>
        <v/>
      </c>
      <c r="D11" s="20">
        <f>IF(OR(Calc!$B$4=0,$B11&gt;IF(Start!$D$10="Avalanche",Calc!$B$3,Calc!$B$2)),"",SUM(G11,I11,K11,M11,O11,Q11,S11,U11,W11,Y11,AA11,AC11,AE11,AG11,AI11))</f>
        <v/>
      </c>
      <c r="E11" s="20">
        <f>IF(OR(Calc!$B$4=0,$B11&gt;IF(Start!$D$10="Avalanche",Calc!$B$3,Calc!$B$2)),"",IF(Start!$D$10="Avalanche",Calc!O$72,Calc!O$47))</f>
        <v/>
      </c>
      <c r="F11" s="21">
        <f>IF(Calc!$B$4=0,"",IF($B11&gt;IF(Start!$D$10="Avalanche",Calc!$B$3,Calc!$B$2),NA(),SUM(H11,J11,L11,N11,P11,R11,T11,V11,X11,Z11,AB11,AD11,AF11,AH11,AJ11)))</f>
        <v/>
      </c>
      <c r="G11" s="20">
        <f>IF(H11="","",N(H10)*(1+Start!$E$14/12)-H11)</f>
        <v/>
      </c>
      <c r="H11" s="20">
        <f>IF(OR(OR(Calc!$B$4=0,$B11&gt;IF(Start!$D$10="Avalanche",Calc!$B$3,Calc!$B$2)),Calc!$B$6=0),"",IF(N(H10)&lt;=0.005,"",IF(Start!$D$10="Avalanche",INDEX(Calc!Q$75:Q$89,Calc!$F$6),INDEX(Calc!Q$50:Q$64,Calc!$D$6))))</f>
        <v/>
      </c>
      <c r="I11" s="20">
        <f>IF(J11="","",N(J10)*(1+Start!$E$15/12)-J11)</f>
        <v/>
      </c>
      <c r="J11" s="20">
        <f>IF(OR(OR(Calc!$B$4=0,$B11&gt;IF(Start!$D$10="Avalanche",Calc!$B$3,Calc!$B$2)),Calc!$B$7=0),"",IF(N(J10)&lt;=0.005,"",IF(Start!$D$10="Avalanche",INDEX(Calc!Q$75:Q$89,Calc!$F$7),INDEX(Calc!Q$50:Q$64,Calc!$D$7))))</f>
        <v/>
      </c>
      <c r="K11" s="20">
        <f>IF(L11="","",N(L10)*(1+Start!$E$16/12)-L11)</f>
        <v/>
      </c>
      <c r="L11" s="20">
        <f>IF(OR(OR(Calc!$B$4=0,$B11&gt;IF(Start!$D$10="Avalanche",Calc!$B$3,Calc!$B$2)),Calc!$B$8=0),"",IF(N(L10)&lt;=0.005,"",IF(Start!$D$10="Avalanche",INDEX(Calc!Q$75:Q$89,Calc!$F$8),INDEX(Calc!Q$50:Q$64,Calc!$D$8))))</f>
        <v/>
      </c>
      <c r="M11" s="20">
        <f>IF(N11="","",N(N10)*(1+Start!$E$17/12)-N11)</f>
        <v/>
      </c>
      <c r="N11" s="20">
        <f>IF(OR(OR(Calc!$B$4=0,$B11&gt;IF(Start!$D$10="Avalanche",Calc!$B$3,Calc!$B$2)),Calc!$B$9=0),"",IF(N(N10)&lt;=0.005,"",IF(Start!$D$10="Avalanche",INDEX(Calc!Q$75:Q$89,Calc!$F$9),INDEX(Calc!Q$50:Q$64,Calc!$D$9))))</f>
        <v/>
      </c>
      <c r="O11" s="20">
        <f>IF(P11="","",N(P10)*(1+Start!$E$18/12)-P11)</f>
        <v/>
      </c>
      <c r="P11" s="20">
        <f>IF(OR(OR(Calc!$B$4=0,$B11&gt;IF(Start!$D$10="Avalanche",Calc!$B$3,Calc!$B$2)),Calc!$B$10=0),"",IF(N(P10)&lt;=0.005,"",IF(Start!$D$10="Avalanche",INDEX(Calc!Q$75:Q$89,Calc!$F$10),INDEX(Calc!Q$50:Q$64,Calc!$D$10))))</f>
        <v/>
      </c>
      <c r="Q11" s="20">
        <f>IF(R11="","",N(R10)*(1+Start!$E$19/12)-R11)</f>
        <v/>
      </c>
      <c r="R11" s="20">
        <f>IF(OR(OR(Calc!$B$4=0,$B11&gt;IF(Start!$D$10="Avalanche",Calc!$B$3,Calc!$B$2)),Calc!$B$11=0),"",IF(N(R10)&lt;=0.005,"",IF(Start!$D$10="Avalanche",INDEX(Calc!Q$75:Q$89,Calc!$F$11),INDEX(Calc!Q$50:Q$64,Calc!$D$11))))</f>
        <v/>
      </c>
      <c r="S11" s="20">
        <f>IF(T11="","",N(T10)*(1+Start!$E$20/12)-T11)</f>
        <v/>
      </c>
      <c r="T11" s="20">
        <f>IF(OR(OR(Calc!$B$4=0,$B11&gt;IF(Start!$D$10="Avalanche",Calc!$B$3,Calc!$B$2)),Calc!$B$12=0),"",IF(N(T10)&lt;=0.005,"",IF(Start!$D$10="Avalanche",INDEX(Calc!Q$75:Q$89,Calc!$F$12),INDEX(Calc!Q$50:Q$64,Calc!$D$12))))</f>
        <v/>
      </c>
      <c r="U11" s="20">
        <f>IF(V11="","",N(V10)*(1+Start!$E$21/12)-V11)</f>
        <v/>
      </c>
      <c r="V11" s="20">
        <f>IF(OR(OR(Calc!$B$4=0,$B11&gt;IF(Start!$D$10="Avalanche",Calc!$B$3,Calc!$B$2)),Calc!$B$13=0),"",IF(N(V10)&lt;=0.005,"",IF(Start!$D$10="Avalanche",INDEX(Calc!Q$75:Q$89,Calc!$F$13),INDEX(Calc!Q$50:Q$64,Calc!$D$13))))</f>
        <v/>
      </c>
      <c r="W11" s="20">
        <f>IF(X11="","",N(X10)*(1+Start!$E$22/12)-X11)</f>
        <v/>
      </c>
      <c r="X11" s="20">
        <f>IF(OR(OR(Calc!$B$4=0,$B11&gt;IF(Start!$D$10="Avalanche",Calc!$B$3,Calc!$B$2)),Calc!$B$14=0),"",IF(N(X10)&lt;=0.005,"",IF(Start!$D$10="Avalanche",INDEX(Calc!Q$75:Q$89,Calc!$F$14),INDEX(Calc!Q$50:Q$64,Calc!$D$14))))</f>
        <v/>
      </c>
      <c r="Y11" s="20">
        <f>IF(Z11="","",N(Z10)*(1+Start!$E$23/12)-Z11)</f>
        <v/>
      </c>
      <c r="Z11" s="20">
        <f>IF(OR(OR(Calc!$B$4=0,$B11&gt;IF(Start!$D$10="Avalanche",Calc!$B$3,Calc!$B$2)),Calc!$B$15=0),"",IF(N(Z10)&lt;=0.005,"",IF(Start!$D$10="Avalanche",INDEX(Calc!Q$75:Q$89,Calc!$F$15),INDEX(Calc!Q$50:Q$64,Calc!$D$15))))</f>
        <v/>
      </c>
      <c r="AA11" s="20">
        <f>IF(AB11="","",N(AB10)*(1+Start!$E$24/12)-AB11)</f>
        <v/>
      </c>
      <c r="AB11" s="20">
        <f>IF(OR(OR(Calc!$B$4=0,$B11&gt;IF(Start!$D$10="Avalanche",Calc!$B$3,Calc!$B$2)),Calc!$B$16=0),"",IF(N(AB10)&lt;=0.005,"",IF(Start!$D$10="Avalanche",INDEX(Calc!Q$75:Q$89,Calc!$F$16),INDEX(Calc!Q$50:Q$64,Calc!$D$16))))</f>
        <v/>
      </c>
      <c r="AC11" s="20">
        <f>IF(AD11="","",N(AD10)*(1+Start!$E$25/12)-AD11)</f>
        <v/>
      </c>
      <c r="AD11" s="20">
        <f>IF(OR(OR(Calc!$B$4=0,$B11&gt;IF(Start!$D$10="Avalanche",Calc!$B$3,Calc!$B$2)),Calc!$B$17=0),"",IF(N(AD10)&lt;=0.005,"",IF(Start!$D$10="Avalanche",INDEX(Calc!Q$75:Q$89,Calc!$F$17),INDEX(Calc!Q$50:Q$64,Calc!$D$17))))</f>
        <v/>
      </c>
      <c r="AE11" s="20">
        <f>IF(AF11="","",N(AF10)*(1+Start!$E$26/12)-AF11)</f>
        <v/>
      </c>
      <c r="AF11" s="20">
        <f>IF(OR(OR(Calc!$B$4=0,$B11&gt;IF(Start!$D$10="Avalanche",Calc!$B$3,Calc!$B$2)),Calc!$B$18=0),"",IF(N(AF10)&lt;=0.005,"",IF(Start!$D$10="Avalanche",INDEX(Calc!Q$75:Q$89,Calc!$F$18),INDEX(Calc!Q$50:Q$64,Calc!$D$18))))</f>
        <v/>
      </c>
      <c r="AG11" s="20">
        <f>IF(AH11="","",N(AH10)*(1+Start!$E$27/12)-AH11)</f>
        <v/>
      </c>
      <c r="AH11" s="20">
        <f>IF(OR(OR(Calc!$B$4=0,$B11&gt;IF(Start!$D$10="Avalanche",Calc!$B$3,Calc!$B$2)),Calc!$B$19=0),"",IF(N(AH10)&lt;=0.005,"",IF(Start!$D$10="Avalanche",INDEX(Calc!Q$75:Q$89,Calc!$F$19),INDEX(Calc!Q$50:Q$64,Calc!$D$19))))</f>
        <v/>
      </c>
      <c r="AI11" s="20">
        <f>IF(AJ11="","",N(AJ10)*(1+Start!$E$28/12)-AJ11)</f>
        <v/>
      </c>
      <c r="AJ11" s="20">
        <f>IF(OR(OR(Calc!$B$4=0,$B11&gt;IF(Start!$D$10="Avalanche",Calc!$B$3,Calc!$B$2)),Calc!$B$20=0),"",IF(N(AJ10)&lt;=0.005,"",IF(Start!$D$10="Avalanche",INDEX(Calc!Q$75:Q$89,Calc!$F$20),INDEX(Calc!Q$50:Q$64,Calc!$D$20))))</f>
        <v/>
      </c>
    </row>
    <row r="12">
      <c r="B12" s="17" t="n">
        <v>6</v>
      </c>
      <c r="C12" s="19">
        <f>IF(Calc!$B$4=0,"",EDATE(Start!$D$11,5))</f>
        <v/>
      </c>
      <c r="D12" s="20">
        <f>IF(OR(Calc!$B$4=0,$B12&gt;IF(Start!$D$10="Avalanche",Calc!$B$3,Calc!$B$2)),"",SUM(G12,I12,K12,M12,O12,Q12,S12,U12,W12,Y12,AA12,AC12,AE12,AG12,AI12))</f>
        <v/>
      </c>
      <c r="E12" s="20">
        <f>IF(OR(Calc!$B$4=0,$B12&gt;IF(Start!$D$10="Avalanche",Calc!$B$3,Calc!$B$2)),"",IF(Start!$D$10="Avalanche",Calc!R$72,Calc!R$47))</f>
        <v/>
      </c>
      <c r="F12" s="21">
        <f>IF(Calc!$B$4=0,"",IF($B12&gt;IF(Start!$D$10="Avalanche",Calc!$B$3,Calc!$B$2),NA(),SUM(H12,J12,L12,N12,P12,R12,T12,V12,X12,Z12,AB12,AD12,AF12,AH12,AJ12)))</f>
        <v/>
      </c>
      <c r="G12" s="20">
        <f>IF(H12="","",N(H11)*(1+Start!$E$14/12)-H12)</f>
        <v/>
      </c>
      <c r="H12" s="20">
        <f>IF(OR(OR(Calc!$B$4=0,$B12&gt;IF(Start!$D$10="Avalanche",Calc!$B$3,Calc!$B$2)),Calc!$B$6=0),"",IF(N(H11)&lt;=0.005,"",IF(Start!$D$10="Avalanche",INDEX(Calc!T$75:T$89,Calc!$F$6),INDEX(Calc!T$50:T$64,Calc!$D$6))))</f>
        <v/>
      </c>
      <c r="I12" s="20">
        <f>IF(J12="","",N(J11)*(1+Start!$E$15/12)-J12)</f>
        <v/>
      </c>
      <c r="J12" s="20">
        <f>IF(OR(OR(Calc!$B$4=0,$B12&gt;IF(Start!$D$10="Avalanche",Calc!$B$3,Calc!$B$2)),Calc!$B$7=0),"",IF(N(J11)&lt;=0.005,"",IF(Start!$D$10="Avalanche",INDEX(Calc!T$75:T$89,Calc!$F$7),INDEX(Calc!T$50:T$64,Calc!$D$7))))</f>
        <v/>
      </c>
      <c r="K12" s="20">
        <f>IF(L12="","",N(L11)*(1+Start!$E$16/12)-L12)</f>
        <v/>
      </c>
      <c r="L12" s="20">
        <f>IF(OR(OR(Calc!$B$4=0,$B12&gt;IF(Start!$D$10="Avalanche",Calc!$B$3,Calc!$B$2)),Calc!$B$8=0),"",IF(N(L11)&lt;=0.005,"",IF(Start!$D$10="Avalanche",INDEX(Calc!T$75:T$89,Calc!$F$8),INDEX(Calc!T$50:T$64,Calc!$D$8))))</f>
        <v/>
      </c>
      <c r="M12" s="20">
        <f>IF(N12="","",N(N11)*(1+Start!$E$17/12)-N12)</f>
        <v/>
      </c>
      <c r="N12" s="20">
        <f>IF(OR(OR(Calc!$B$4=0,$B12&gt;IF(Start!$D$10="Avalanche",Calc!$B$3,Calc!$B$2)),Calc!$B$9=0),"",IF(N(N11)&lt;=0.005,"",IF(Start!$D$10="Avalanche",INDEX(Calc!T$75:T$89,Calc!$F$9),INDEX(Calc!T$50:T$64,Calc!$D$9))))</f>
        <v/>
      </c>
      <c r="O12" s="20">
        <f>IF(P12="","",N(P11)*(1+Start!$E$18/12)-P12)</f>
        <v/>
      </c>
      <c r="P12" s="20">
        <f>IF(OR(OR(Calc!$B$4=0,$B12&gt;IF(Start!$D$10="Avalanche",Calc!$B$3,Calc!$B$2)),Calc!$B$10=0),"",IF(N(P11)&lt;=0.005,"",IF(Start!$D$10="Avalanche",INDEX(Calc!T$75:T$89,Calc!$F$10),INDEX(Calc!T$50:T$64,Calc!$D$10))))</f>
        <v/>
      </c>
      <c r="Q12" s="20">
        <f>IF(R12="","",N(R11)*(1+Start!$E$19/12)-R12)</f>
        <v/>
      </c>
      <c r="R12" s="20">
        <f>IF(OR(OR(Calc!$B$4=0,$B12&gt;IF(Start!$D$10="Avalanche",Calc!$B$3,Calc!$B$2)),Calc!$B$11=0),"",IF(N(R11)&lt;=0.005,"",IF(Start!$D$10="Avalanche",INDEX(Calc!T$75:T$89,Calc!$F$11),INDEX(Calc!T$50:T$64,Calc!$D$11))))</f>
        <v/>
      </c>
      <c r="S12" s="20">
        <f>IF(T12="","",N(T11)*(1+Start!$E$20/12)-T12)</f>
        <v/>
      </c>
      <c r="T12" s="20">
        <f>IF(OR(OR(Calc!$B$4=0,$B12&gt;IF(Start!$D$10="Avalanche",Calc!$B$3,Calc!$B$2)),Calc!$B$12=0),"",IF(N(T11)&lt;=0.005,"",IF(Start!$D$10="Avalanche",INDEX(Calc!T$75:T$89,Calc!$F$12),INDEX(Calc!T$50:T$64,Calc!$D$12))))</f>
        <v/>
      </c>
      <c r="U12" s="20">
        <f>IF(V12="","",N(V11)*(1+Start!$E$21/12)-V12)</f>
        <v/>
      </c>
      <c r="V12" s="20">
        <f>IF(OR(OR(Calc!$B$4=0,$B12&gt;IF(Start!$D$10="Avalanche",Calc!$B$3,Calc!$B$2)),Calc!$B$13=0),"",IF(N(V11)&lt;=0.005,"",IF(Start!$D$10="Avalanche",INDEX(Calc!T$75:T$89,Calc!$F$13),INDEX(Calc!T$50:T$64,Calc!$D$13))))</f>
        <v/>
      </c>
      <c r="W12" s="20">
        <f>IF(X12="","",N(X11)*(1+Start!$E$22/12)-X12)</f>
        <v/>
      </c>
      <c r="X12" s="20">
        <f>IF(OR(OR(Calc!$B$4=0,$B12&gt;IF(Start!$D$10="Avalanche",Calc!$B$3,Calc!$B$2)),Calc!$B$14=0),"",IF(N(X11)&lt;=0.005,"",IF(Start!$D$10="Avalanche",INDEX(Calc!T$75:T$89,Calc!$F$14),INDEX(Calc!T$50:T$64,Calc!$D$14))))</f>
        <v/>
      </c>
      <c r="Y12" s="20">
        <f>IF(Z12="","",N(Z11)*(1+Start!$E$23/12)-Z12)</f>
        <v/>
      </c>
      <c r="Z12" s="20">
        <f>IF(OR(OR(Calc!$B$4=0,$B12&gt;IF(Start!$D$10="Avalanche",Calc!$B$3,Calc!$B$2)),Calc!$B$15=0),"",IF(N(Z11)&lt;=0.005,"",IF(Start!$D$10="Avalanche",INDEX(Calc!T$75:T$89,Calc!$F$15),INDEX(Calc!T$50:T$64,Calc!$D$15))))</f>
        <v/>
      </c>
      <c r="AA12" s="20">
        <f>IF(AB12="","",N(AB11)*(1+Start!$E$24/12)-AB12)</f>
        <v/>
      </c>
      <c r="AB12" s="20">
        <f>IF(OR(OR(Calc!$B$4=0,$B12&gt;IF(Start!$D$10="Avalanche",Calc!$B$3,Calc!$B$2)),Calc!$B$16=0),"",IF(N(AB11)&lt;=0.005,"",IF(Start!$D$10="Avalanche",INDEX(Calc!T$75:T$89,Calc!$F$16),INDEX(Calc!T$50:T$64,Calc!$D$16))))</f>
        <v/>
      </c>
      <c r="AC12" s="20">
        <f>IF(AD12="","",N(AD11)*(1+Start!$E$25/12)-AD12)</f>
        <v/>
      </c>
      <c r="AD12" s="20">
        <f>IF(OR(OR(Calc!$B$4=0,$B12&gt;IF(Start!$D$10="Avalanche",Calc!$B$3,Calc!$B$2)),Calc!$B$17=0),"",IF(N(AD11)&lt;=0.005,"",IF(Start!$D$10="Avalanche",INDEX(Calc!T$75:T$89,Calc!$F$17),INDEX(Calc!T$50:T$64,Calc!$D$17))))</f>
        <v/>
      </c>
      <c r="AE12" s="20">
        <f>IF(AF12="","",N(AF11)*(1+Start!$E$26/12)-AF12)</f>
        <v/>
      </c>
      <c r="AF12" s="20">
        <f>IF(OR(OR(Calc!$B$4=0,$B12&gt;IF(Start!$D$10="Avalanche",Calc!$B$3,Calc!$B$2)),Calc!$B$18=0),"",IF(N(AF11)&lt;=0.005,"",IF(Start!$D$10="Avalanche",INDEX(Calc!T$75:T$89,Calc!$F$18),INDEX(Calc!T$50:T$64,Calc!$D$18))))</f>
        <v/>
      </c>
      <c r="AG12" s="20">
        <f>IF(AH12="","",N(AH11)*(1+Start!$E$27/12)-AH12)</f>
        <v/>
      </c>
      <c r="AH12" s="20">
        <f>IF(OR(OR(Calc!$B$4=0,$B12&gt;IF(Start!$D$10="Avalanche",Calc!$B$3,Calc!$B$2)),Calc!$B$19=0),"",IF(N(AH11)&lt;=0.005,"",IF(Start!$D$10="Avalanche",INDEX(Calc!T$75:T$89,Calc!$F$19),INDEX(Calc!T$50:T$64,Calc!$D$19))))</f>
        <v/>
      </c>
      <c r="AI12" s="20">
        <f>IF(AJ12="","",N(AJ11)*(1+Start!$E$28/12)-AJ12)</f>
        <v/>
      </c>
      <c r="AJ12" s="20">
        <f>IF(OR(OR(Calc!$B$4=0,$B12&gt;IF(Start!$D$10="Avalanche",Calc!$B$3,Calc!$B$2)),Calc!$B$20=0),"",IF(N(AJ11)&lt;=0.005,"",IF(Start!$D$10="Avalanche",INDEX(Calc!T$75:T$89,Calc!$F$20),INDEX(Calc!T$50:T$64,Calc!$D$20))))</f>
        <v/>
      </c>
    </row>
    <row r="13">
      <c r="B13" s="17" t="n">
        <v>7</v>
      </c>
      <c r="C13" s="19">
        <f>IF(Calc!$B$4=0,"",EDATE(Start!$D$11,6))</f>
        <v/>
      </c>
      <c r="D13" s="20">
        <f>IF(OR(Calc!$B$4=0,$B13&gt;IF(Start!$D$10="Avalanche",Calc!$B$3,Calc!$B$2)),"",SUM(G13,I13,K13,M13,O13,Q13,S13,U13,W13,Y13,AA13,AC13,AE13,AG13,AI13))</f>
        <v/>
      </c>
      <c r="E13" s="20">
        <f>IF(OR(Calc!$B$4=0,$B13&gt;IF(Start!$D$10="Avalanche",Calc!$B$3,Calc!$B$2)),"",IF(Start!$D$10="Avalanche",Calc!U$72,Calc!U$47))</f>
        <v/>
      </c>
      <c r="F13" s="21">
        <f>IF(Calc!$B$4=0,"",IF($B13&gt;IF(Start!$D$10="Avalanche",Calc!$B$3,Calc!$B$2),NA(),SUM(H13,J13,L13,N13,P13,R13,T13,V13,X13,Z13,AB13,AD13,AF13,AH13,AJ13)))</f>
        <v/>
      </c>
      <c r="G13" s="20">
        <f>IF(H13="","",N(H12)*(1+Start!$E$14/12)-H13)</f>
        <v/>
      </c>
      <c r="H13" s="20">
        <f>IF(OR(OR(Calc!$B$4=0,$B13&gt;IF(Start!$D$10="Avalanche",Calc!$B$3,Calc!$B$2)),Calc!$B$6=0),"",IF(N(H12)&lt;=0.005,"",IF(Start!$D$10="Avalanche",INDEX(Calc!W$75:W$89,Calc!$F$6),INDEX(Calc!W$50:W$64,Calc!$D$6))))</f>
        <v/>
      </c>
      <c r="I13" s="20">
        <f>IF(J13="","",N(J12)*(1+Start!$E$15/12)-J13)</f>
        <v/>
      </c>
      <c r="J13" s="20">
        <f>IF(OR(OR(Calc!$B$4=0,$B13&gt;IF(Start!$D$10="Avalanche",Calc!$B$3,Calc!$B$2)),Calc!$B$7=0),"",IF(N(J12)&lt;=0.005,"",IF(Start!$D$10="Avalanche",INDEX(Calc!W$75:W$89,Calc!$F$7),INDEX(Calc!W$50:W$64,Calc!$D$7))))</f>
        <v/>
      </c>
      <c r="K13" s="20">
        <f>IF(L13="","",N(L12)*(1+Start!$E$16/12)-L13)</f>
        <v/>
      </c>
      <c r="L13" s="20">
        <f>IF(OR(OR(Calc!$B$4=0,$B13&gt;IF(Start!$D$10="Avalanche",Calc!$B$3,Calc!$B$2)),Calc!$B$8=0),"",IF(N(L12)&lt;=0.005,"",IF(Start!$D$10="Avalanche",INDEX(Calc!W$75:W$89,Calc!$F$8),INDEX(Calc!W$50:W$64,Calc!$D$8))))</f>
        <v/>
      </c>
      <c r="M13" s="20">
        <f>IF(N13="","",N(N12)*(1+Start!$E$17/12)-N13)</f>
        <v/>
      </c>
      <c r="N13" s="20">
        <f>IF(OR(OR(Calc!$B$4=0,$B13&gt;IF(Start!$D$10="Avalanche",Calc!$B$3,Calc!$B$2)),Calc!$B$9=0),"",IF(N(N12)&lt;=0.005,"",IF(Start!$D$10="Avalanche",INDEX(Calc!W$75:W$89,Calc!$F$9),INDEX(Calc!W$50:W$64,Calc!$D$9))))</f>
        <v/>
      </c>
      <c r="O13" s="20">
        <f>IF(P13="","",N(P12)*(1+Start!$E$18/12)-P13)</f>
        <v/>
      </c>
      <c r="P13" s="20">
        <f>IF(OR(OR(Calc!$B$4=0,$B13&gt;IF(Start!$D$10="Avalanche",Calc!$B$3,Calc!$B$2)),Calc!$B$10=0),"",IF(N(P12)&lt;=0.005,"",IF(Start!$D$10="Avalanche",INDEX(Calc!W$75:W$89,Calc!$F$10),INDEX(Calc!W$50:W$64,Calc!$D$10))))</f>
        <v/>
      </c>
      <c r="Q13" s="20">
        <f>IF(R13="","",N(R12)*(1+Start!$E$19/12)-R13)</f>
        <v/>
      </c>
      <c r="R13" s="20">
        <f>IF(OR(OR(Calc!$B$4=0,$B13&gt;IF(Start!$D$10="Avalanche",Calc!$B$3,Calc!$B$2)),Calc!$B$11=0),"",IF(N(R12)&lt;=0.005,"",IF(Start!$D$10="Avalanche",INDEX(Calc!W$75:W$89,Calc!$F$11),INDEX(Calc!W$50:W$64,Calc!$D$11))))</f>
        <v/>
      </c>
      <c r="S13" s="20">
        <f>IF(T13="","",N(T12)*(1+Start!$E$20/12)-T13)</f>
        <v/>
      </c>
      <c r="T13" s="20">
        <f>IF(OR(OR(Calc!$B$4=0,$B13&gt;IF(Start!$D$10="Avalanche",Calc!$B$3,Calc!$B$2)),Calc!$B$12=0),"",IF(N(T12)&lt;=0.005,"",IF(Start!$D$10="Avalanche",INDEX(Calc!W$75:W$89,Calc!$F$12),INDEX(Calc!W$50:W$64,Calc!$D$12))))</f>
        <v/>
      </c>
      <c r="U13" s="20">
        <f>IF(V13="","",N(V12)*(1+Start!$E$21/12)-V13)</f>
        <v/>
      </c>
      <c r="V13" s="20">
        <f>IF(OR(OR(Calc!$B$4=0,$B13&gt;IF(Start!$D$10="Avalanche",Calc!$B$3,Calc!$B$2)),Calc!$B$13=0),"",IF(N(V12)&lt;=0.005,"",IF(Start!$D$10="Avalanche",INDEX(Calc!W$75:W$89,Calc!$F$13),INDEX(Calc!W$50:W$64,Calc!$D$13))))</f>
        <v/>
      </c>
      <c r="W13" s="20">
        <f>IF(X13="","",N(X12)*(1+Start!$E$22/12)-X13)</f>
        <v/>
      </c>
      <c r="X13" s="20">
        <f>IF(OR(OR(Calc!$B$4=0,$B13&gt;IF(Start!$D$10="Avalanche",Calc!$B$3,Calc!$B$2)),Calc!$B$14=0),"",IF(N(X12)&lt;=0.005,"",IF(Start!$D$10="Avalanche",INDEX(Calc!W$75:W$89,Calc!$F$14),INDEX(Calc!W$50:W$64,Calc!$D$14))))</f>
        <v/>
      </c>
      <c r="Y13" s="20">
        <f>IF(Z13="","",N(Z12)*(1+Start!$E$23/12)-Z13)</f>
        <v/>
      </c>
      <c r="Z13" s="20">
        <f>IF(OR(OR(Calc!$B$4=0,$B13&gt;IF(Start!$D$10="Avalanche",Calc!$B$3,Calc!$B$2)),Calc!$B$15=0),"",IF(N(Z12)&lt;=0.005,"",IF(Start!$D$10="Avalanche",INDEX(Calc!W$75:W$89,Calc!$F$15),INDEX(Calc!W$50:W$64,Calc!$D$15))))</f>
        <v/>
      </c>
      <c r="AA13" s="20">
        <f>IF(AB13="","",N(AB12)*(1+Start!$E$24/12)-AB13)</f>
        <v/>
      </c>
      <c r="AB13" s="20">
        <f>IF(OR(OR(Calc!$B$4=0,$B13&gt;IF(Start!$D$10="Avalanche",Calc!$B$3,Calc!$B$2)),Calc!$B$16=0),"",IF(N(AB12)&lt;=0.005,"",IF(Start!$D$10="Avalanche",INDEX(Calc!W$75:W$89,Calc!$F$16),INDEX(Calc!W$50:W$64,Calc!$D$16))))</f>
        <v/>
      </c>
      <c r="AC13" s="20">
        <f>IF(AD13="","",N(AD12)*(1+Start!$E$25/12)-AD13)</f>
        <v/>
      </c>
      <c r="AD13" s="20">
        <f>IF(OR(OR(Calc!$B$4=0,$B13&gt;IF(Start!$D$10="Avalanche",Calc!$B$3,Calc!$B$2)),Calc!$B$17=0),"",IF(N(AD12)&lt;=0.005,"",IF(Start!$D$10="Avalanche",INDEX(Calc!W$75:W$89,Calc!$F$17),INDEX(Calc!W$50:W$64,Calc!$D$17))))</f>
        <v/>
      </c>
      <c r="AE13" s="20">
        <f>IF(AF13="","",N(AF12)*(1+Start!$E$26/12)-AF13)</f>
        <v/>
      </c>
      <c r="AF13" s="20">
        <f>IF(OR(OR(Calc!$B$4=0,$B13&gt;IF(Start!$D$10="Avalanche",Calc!$B$3,Calc!$B$2)),Calc!$B$18=0),"",IF(N(AF12)&lt;=0.005,"",IF(Start!$D$10="Avalanche",INDEX(Calc!W$75:W$89,Calc!$F$18),INDEX(Calc!W$50:W$64,Calc!$D$18))))</f>
        <v/>
      </c>
      <c r="AG13" s="20">
        <f>IF(AH13="","",N(AH12)*(1+Start!$E$27/12)-AH13)</f>
        <v/>
      </c>
      <c r="AH13" s="20">
        <f>IF(OR(OR(Calc!$B$4=0,$B13&gt;IF(Start!$D$10="Avalanche",Calc!$B$3,Calc!$B$2)),Calc!$B$19=0),"",IF(N(AH12)&lt;=0.005,"",IF(Start!$D$10="Avalanche",INDEX(Calc!W$75:W$89,Calc!$F$19),INDEX(Calc!W$50:W$64,Calc!$D$19))))</f>
        <v/>
      </c>
      <c r="AI13" s="20">
        <f>IF(AJ13="","",N(AJ12)*(1+Start!$E$28/12)-AJ13)</f>
        <v/>
      </c>
      <c r="AJ13" s="20">
        <f>IF(OR(OR(Calc!$B$4=0,$B13&gt;IF(Start!$D$10="Avalanche",Calc!$B$3,Calc!$B$2)),Calc!$B$20=0),"",IF(N(AJ12)&lt;=0.005,"",IF(Start!$D$10="Avalanche",INDEX(Calc!W$75:W$89,Calc!$F$20),INDEX(Calc!W$50:W$64,Calc!$D$20))))</f>
        <v/>
      </c>
    </row>
    <row r="14">
      <c r="B14" s="17" t="n">
        <v>8</v>
      </c>
      <c r="C14" s="19">
        <f>IF(Calc!$B$4=0,"",EDATE(Start!$D$11,7))</f>
        <v/>
      </c>
      <c r="D14" s="20">
        <f>IF(OR(Calc!$B$4=0,$B14&gt;IF(Start!$D$10="Avalanche",Calc!$B$3,Calc!$B$2)),"",SUM(G14,I14,K14,M14,O14,Q14,S14,U14,W14,Y14,AA14,AC14,AE14,AG14,AI14))</f>
        <v/>
      </c>
      <c r="E14" s="20">
        <f>IF(OR(Calc!$B$4=0,$B14&gt;IF(Start!$D$10="Avalanche",Calc!$B$3,Calc!$B$2)),"",IF(Start!$D$10="Avalanche",Calc!X$72,Calc!X$47))</f>
        <v/>
      </c>
      <c r="F14" s="21">
        <f>IF(Calc!$B$4=0,"",IF($B14&gt;IF(Start!$D$10="Avalanche",Calc!$B$3,Calc!$B$2),NA(),SUM(H14,J14,L14,N14,P14,R14,T14,V14,X14,Z14,AB14,AD14,AF14,AH14,AJ14)))</f>
        <v/>
      </c>
      <c r="G14" s="20">
        <f>IF(H14="","",N(H13)*(1+Start!$E$14/12)-H14)</f>
        <v/>
      </c>
      <c r="H14" s="20">
        <f>IF(OR(OR(Calc!$B$4=0,$B14&gt;IF(Start!$D$10="Avalanche",Calc!$B$3,Calc!$B$2)),Calc!$B$6=0),"",IF(N(H13)&lt;=0.005,"",IF(Start!$D$10="Avalanche",INDEX(Calc!Z$75:Z$89,Calc!$F$6),INDEX(Calc!Z$50:Z$64,Calc!$D$6))))</f>
        <v/>
      </c>
      <c r="I14" s="20">
        <f>IF(J14="","",N(J13)*(1+Start!$E$15/12)-J14)</f>
        <v/>
      </c>
      <c r="J14" s="20">
        <f>IF(OR(OR(Calc!$B$4=0,$B14&gt;IF(Start!$D$10="Avalanche",Calc!$B$3,Calc!$B$2)),Calc!$B$7=0),"",IF(N(J13)&lt;=0.005,"",IF(Start!$D$10="Avalanche",INDEX(Calc!Z$75:Z$89,Calc!$F$7),INDEX(Calc!Z$50:Z$64,Calc!$D$7))))</f>
        <v/>
      </c>
      <c r="K14" s="20">
        <f>IF(L14="","",N(L13)*(1+Start!$E$16/12)-L14)</f>
        <v/>
      </c>
      <c r="L14" s="20">
        <f>IF(OR(OR(Calc!$B$4=0,$B14&gt;IF(Start!$D$10="Avalanche",Calc!$B$3,Calc!$B$2)),Calc!$B$8=0),"",IF(N(L13)&lt;=0.005,"",IF(Start!$D$10="Avalanche",INDEX(Calc!Z$75:Z$89,Calc!$F$8),INDEX(Calc!Z$50:Z$64,Calc!$D$8))))</f>
        <v/>
      </c>
      <c r="M14" s="20">
        <f>IF(N14="","",N(N13)*(1+Start!$E$17/12)-N14)</f>
        <v/>
      </c>
      <c r="N14" s="20">
        <f>IF(OR(OR(Calc!$B$4=0,$B14&gt;IF(Start!$D$10="Avalanche",Calc!$B$3,Calc!$B$2)),Calc!$B$9=0),"",IF(N(N13)&lt;=0.005,"",IF(Start!$D$10="Avalanche",INDEX(Calc!Z$75:Z$89,Calc!$F$9),INDEX(Calc!Z$50:Z$64,Calc!$D$9))))</f>
        <v/>
      </c>
      <c r="O14" s="20">
        <f>IF(P14="","",N(P13)*(1+Start!$E$18/12)-P14)</f>
        <v/>
      </c>
      <c r="P14" s="20">
        <f>IF(OR(OR(Calc!$B$4=0,$B14&gt;IF(Start!$D$10="Avalanche",Calc!$B$3,Calc!$B$2)),Calc!$B$10=0),"",IF(N(P13)&lt;=0.005,"",IF(Start!$D$10="Avalanche",INDEX(Calc!Z$75:Z$89,Calc!$F$10),INDEX(Calc!Z$50:Z$64,Calc!$D$10))))</f>
        <v/>
      </c>
      <c r="Q14" s="20">
        <f>IF(R14="","",N(R13)*(1+Start!$E$19/12)-R14)</f>
        <v/>
      </c>
      <c r="R14" s="20">
        <f>IF(OR(OR(Calc!$B$4=0,$B14&gt;IF(Start!$D$10="Avalanche",Calc!$B$3,Calc!$B$2)),Calc!$B$11=0),"",IF(N(R13)&lt;=0.005,"",IF(Start!$D$10="Avalanche",INDEX(Calc!Z$75:Z$89,Calc!$F$11),INDEX(Calc!Z$50:Z$64,Calc!$D$11))))</f>
        <v/>
      </c>
      <c r="S14" s="20">
        <f>IF(T14="","",N(T13)*(1+Start!$E$20/12)-T14)</f>
        <v/>
      </c>
      <c r="T14" s="20">
        <f>IF(OR(OR(Calc!$B$4=0,$B14&gt;IF(Start!$D$10="Avalanche",Calc!$B$3,Calc!$B$2)),Calc!$B$12=0),"",IF(N(T13)&lt;=0.005,"",IF(Start!$D$10="Avalanche",INDEX(Calc!Z$75:Z$89,Calc!$F$12),INDEX(Calc!Z$50:Z$64,Calc!$D$12))))</f>
        <v/>
      </c>
      <c r="U14" s="20">
        <f>IF(V14="","",N(V13)*(1+Start!$E$21/12)-V14)</f>
        <v/>
      </c>
      <c r="V14" s="20">
        <f>IF(OR(OR(Calc!$B$4=0,$B14&gt;IF(Start!$D$10="Avalanche",Calc!$B$3,Calc!$B$2)),Calc!$B$13=0),"",IF(N(V13)&lt;=0.005,"",IF(Start!$D$10="Avalanche",INDEX(Calc!Z$75:Z$89,Calc!$F$13),INDEX(Calc!Z$50:Z$64,Calc!$D$13))))</f>
        <v/>
      </c>
      <c r="W14" s="20">
        <f>IF(X14="","",N(X13)*(1+Start!$E$22/12)-X14)</f>
        <v/>
      </c>
      <c r="X14" s="20">
        <f>IF(OR(OR(Calc!$B$4=0,$B14&gt;IF(Start!$D$10="Avalanche",Calc!$B$3,Calc!$B$2)),Calc!$B$14=0),"",IF(N(X13)&lt;=0.005,"",IF(Start!$D$10="Avalanche",INDEX(Calc!Z$75:Z$89,Calc!$F$14),INDEX(Calc!Z$50:Z$64,Calc!$D$14))))</f>
        <v/>
      </c>
      <c r="Y14" s="20">
        <f>IF(Z14="","",N(Z13)*(1+Start!$E$23/12)-Z14)</f>
        <v/>
      </c>
      <c r="Z14" s="20">
        <f>IF(OR(OR(Calc!$B$4=0,$B14&gt;IF(Start!$D$10="Avalanche",Calc!$B$3,Calc!$B$2)),Calc!$B$15=0),"",IF(N(Z13)&lt;=0.005,"",IF(Start!$D$10="Avalanche",INDEX(Calc!Z$75:Z$89,Calc!$F$15),INDEX(Calc!Z$50:Z$64,Calc!$D$15))))</f>
        <v/>
      </c>
      <c r="AA14" s="20">
        <f>IF(AB14="","",N(AB13)*(1+Start!$E$24/12)-AB14)</f>
        <v/>
      </c>
      <c r="AB14" s="20">
        <f>IF(OR(OR(Calc!$B$4=0,$B14&gt;IF(Start!$D$10="Avalanche",Calc!$B$3,Calc!$B$2)),Calc!$B$16=0),"",IF(N(AB13)&lt;=0.005,"",IF(Start!$D$10="Avalanche",INDEX(Calc!Z$75:Z$89,Calc!$F$16),INDEX(Calc!Z$50:Z$64,Calc!$D$16))))</f>
        <v/>
      </c>
      <c r="AC14" s="20">
        <f>IF(AD14="","",N(AD13)*(1+Start!$E$25/12)-AD14)</f>
        <v/>
      </c>
      <c r="AD14" s="20">
        <f>IF(OR(OR(Calc!$B$4=0,$B14&gt;IF(Start!$D$10="Avalanche",Calc!$B$3,Calc!$B$2)),Calc!$B$17=0),"",IF(N(AD13)&lt;=0.005,"",IF(Start!$D$10="Avalanche",INDEX(Calc!Z$75:Z$89,Calc!$F$17),INDEX(Calc!Z$50:Z$64,Calc!$D$17))))</f>
        <v/>
      </c>
      <c r="AE14" s="20">
        <f>IF(AF14="","",N(AF13)*(1+Start!$E$26/12)-AF14)</f>
        <v/>
      </c>
      <c r="AF14" s="20">
        <f>IF(OR(OR(Calc!$B$4=0,$B14&gt;IF(Start!$D$10="Avalanche",Calc!$B$3,Calc!$B$2)),Calc!$B$18=0),"",IF(N(AF13)&lt;=0.005,"",IF(Start!$D$10="Avalanche",INDEX(Calc!Z$75:Z$89,Calc!$F$18),INDEX(Calc!Z$50:Z$64,Calc!$D$18))))</f>
        <v/>
      </c>
      <c r="AG14" s="20">
        <f>IF(AH14="","",N(AH13)*(1+Start!$E$27/12)-AH14)</f>
        <v/>
      </c>
      <c r="AH14" s="20">
        <f>IF(OR(OR(Calc!$B$4=0,$B14&gt;IF(Start!$D$10="Avalanche",Calc!$B$3,Calc!$B$2)),Calc!$B$19=0),"",IF(N(AH13)&lt;=0.005,"",IF(Start!$D$10="Avalanche",INDEX(Calc!Z$75:Z$89,Calc!$F$19),INDEX(Calc!Z$50:Z$64,Calc!$D$19))))</f>
        <v/>
      </c>
      <c r="AI14" s="20">
        <f>IF(AJ14="","",N(AJ13)*(1+Start!$E$28/12)-AJ14)</f>
        <v/>
      </c>
      <c r="AJ14" s="20">
        <f>IF(OR(OR(Calc!$B$4=0,$B14&gt;IF(Start!$D$10="Avalanche",Calc!$B$3,Calc!$B$2)),Calc!$B$20=0),"",IF(N(AJ13)&lt;=0.005,"",IF(Start!$D$10="Avalanche",INDEX(Calc!Z$75:Z$89,Calc!$F$20),INDEX(Calc!Z$50:Z$64,Calc!$D$20))))</f>
        <v/>
      </c>
    </row>
    <row r="15">
      <c r="B15" s="17" t="n">
        <v>9</v>
      </c>
      <c r="C15" s="19">
        <f>IF(Calc!$B$4=0,"",EDATE(Start!$D$11,8))</f>
        <v/>
      </c>
      <c r="D15" s="20">
        <f>IF(OR(Calc!$B$4=0,$B15&gt;IF(Start!$D$10="Avalanche",Calc!$B$3,Calc!$B$2)),"",SUM(G15,I15,K15,M15,O15,Q15,S15,U15,W15,Y15,AA15,AC15,AE15,AG15,AI15))</f>
        <v/>
      </c>
      <c r="E15" s="20">
        <f>IF(OR(Calc!$B$4=0,$B15&gt;IF(Start!$D$10="Avalanche",Calc!$B$3,Calc!$B$2)),"",IF(Start!$D$10="Avalanche",Calc!AA$72,Calc!AA$47))</f>
        <v/>
      </c>
      <c r="F15" s="21">
        <f>IF(Calc!$B$4=0,"",IF($B15&gt;IF(Start!$D$10="Avalanche",Calc!$B$3,Calc!$B$2),NA(),SUM(H15,J15,L15,N15,P15,R15,T15,V15,X15,Z15,AB15,AD15,AF15,AH15,AJ15)))</f>
        <v/>
      </c>
      <c r="G15" s="20">
        <f>IF(H15="","",N(H14)*(1+Start!$E$14/12)-H15)</f>
        <v/>
      </c>
      <c r="H15" s="20">
        <f>IF(OR(OR(Calc!$B$4=0,$B15&gt;IF(Start!$D$10="Avalanche",Calc!$B$3,Calc!$B$2)),Calc!$B$6=0),"",IF(N(H14)&lt;=0.005,"",IF(Start!$D$10="Avalanche",INDEX(Calc!AC$75:AC$89,Calc!$F$6),INDEX(Calc!AC$50:AC$64,Calc!$D$6))))</f>
        <v/>
      </c>
      <c r="I15" s="20">
        <f>IF(J15="","",N(J14)*(1+Start!$E$15/12)-J15)</f>
        <v/>
      </c>
      <c r="J15" s="20">
        <f>IF(OR(OR(Calc!$B$4=0,$B15&gt;IF(Start!$D$10="Avalanche",Calc!$B$3,Calc!$B$2)),Calc!$B$7=0),"",IF(N(J14)&lt;=0.005,"",IF(Start!$D$10="Avalanche",INDEX(Calc!AC$75:AC$89,Calc!$F$7),INDEX(Calc!AC$50:AC$64,Calc!$D$7))))</f>
        <v/>
      </c>
      <c r="K15" s="20">
        <f>IF(L15="","",N(L14)*(1+Start!$E$16/12)-L15)</f>
        <v/>
      </c>
      <c r="L15" s="20">
        <f>IF(OR(OR(Calc!$B$4=0,$B15&gt;IF(Start!$D$10="Avalanche",Calc!$B$3,Calc!$B$2)),Calc!$B$8=0),"",IF(N(L14)&lt;=0.005,"",IF(Start!$D$10="Avalanche",INDEX(Calc!AC$75:AC$89,Calc!$F$8),INDEX(Calc!AC$50:AC$64,Calc!$D$8))))</f>
        <v/>
      </c>
      <c r="M15" s="20">
        <f>IF(N15="","",N(N14)*(1+Start!$E$17/12)-N15)</f>
        <v/>
      </c>
      <c r="N15" s="20">
        <f>IF(OR(OR(Calc!$B$4=0,$B15&gt;IF(Start!$D$10="Avalanche",Calc!$B$3,Calc!$B$2)),Calc!$B$9=0),"",IF(N(N14)&lt;=0.005,"",IF(Start!$D$10="Avalanche",INDEX(Calc!AC$75:AC$89,Calc!$F$9),INDEX(Calc!AC$50:AC$64,Calc!$D$9))))</f>
        <v/>
      </c>
      <c r="O15" s="20">
        <f>IF(P15="","",N(P14)*(1+Start!$E$18/12)-P15)</f>
        <v/>
      </c>
      <c r="P15" s="20">
        <f>IF(OR(OR(Calc!$B$4=0,$B15&gt;IF(Start!$D$10="Avalanche",Calc!$B$3,Calc!$B$2)),Calc!$B$10=0),"",IF(N(P14)&lt;=0.005,"",IF(Start!$D$10="Avalanche",INDEX(Calc!AC$75:AC$89,Calc!$F$10),INDEX(Calc!AC$50:AC$64,Calc!$D$10))))</f>
        <v/>
      </c>
      <c r="Q15" s="20">
        <f>IF(R15="","",N(R14)*(1+Start!$E$19/12)-R15)</f>
        <v/>
      </c>
      <c r="R15" s="20">
        <f>IF(OR(OR(Calc!$B$4=0,$B15&gt;IF(Start!$D$10="Avalanche",Calc!$B$3,Calc!$B$2)),Calc!$B$11=0),"",IF(N(R14)&lt;=0.005,"",IF(Start!$D$10="Avalanche",INDEX(Calc!AC$75:AC$89,Calc!$F$11),INDEX(Calc!AC$50:AC$64,Calc!$D$11))))</f>
        <v/>
      </c>
      <c r="S15" s="20">
        <f>IF(T15="","",N(T14)*(1+Start!$E$20/12)-T15)</f>
        <v/>
      </c>
      <c r="T15" s="20">
        <f>IF(OR(OR(Calc!$B$4=0,$B15&gt;IF(Start!$D$10="Avalanche",Calc!$B$3,Calc!$B$2)),Calc!$B$12=0),"",IF(N(T14)&lt;=0.005,"",IF(Start!$D$10="Avalanche",INDEX(Calc!AC$75:AC$89,Calc!$F$12),INDEX(Calc!AC$50:AC$64,Calc!$D$12))))</f>
        <v/>
      </c>
      <c r="U15" s="20">
        <f>IF(V15="","",N(V14)*(1+Start!$E$21/12)-V15)</f>
        <v/>
      </c>
      <c r="V15" s="20">
        <f>IF(OR(OR(Calc!$B$4=0,$B15&gt;IF(Start!$D$10="Avalanche",Calc!$B$3,Calc!$B$2)),Calc!$B$13=0),"",IF(N(V14)&lt;=0.005,"",IF(Start!$D$10="Avalanche",INDEX(Calc!AC$75:AC$89,Calc!$F$13),INDEX(Calc!AC$50:AC$64,Calc!$D$13))))</f>
        <v/>
      </c>
      <c r="W15" s="20">
        <f>IF(X15="","",N(X14)*(1+Start!$E$22/12)-X15)</f>
        <v/>
      </c>
      <c r="X15" s="20">
        <f>IF(OR(OR(Calc!$B$4=0,$B15&gt;IF(Start!$D$10="Avalanche",Calc!$B$3,Calc!$B$2)),Calc!$B$14=0),"",IF(N(X14)&lt;=0.005,"",IF(Start!$D$10="Avalanche",INDEX(Calc!AC$75:AC$89,Calc!$F$14),INDEX(Calc!AC$50:AC$64,Calc!$D$14))))</f>
        <v/>
      </c>
      <c r="Y15" s="20">
        <f>IF(Z15="","",N(Z14)*(1+Start!$E$23/12)-Z15)</f>
        <v/>
      </c>
      <c r="Z15" s="20">
        <f>IF(OR(OR(Calc!$B$4=0,$B15&gt;IF(Start!$D$10="Avalanche",Calc!$B$3,Calc!$B$2)),Calc!$B$15=0),"",IF(N(Z14)&lt;=0.005,"",IF(Start!$D$10="Avalanche",INDEX(Calc!AC$75:AC$89,Calc!$F$15),INDEX(Calc!AC$50:AC$64,Calc!$D$15))))</f>
        <v/>
      </c>
      <c r="AA15" s="20">
        <f>IF(AB15="","",N(AB14)*(1+Start!$E$24/12)-AB15)</f>
        <v/>
      </c>
      <c r="AB15" s="20">
        <f>IF(OR(OR(Calc!$B$4=0,$B15&gt;IF(Start!$D$10="Avalanche",Calc!$B$3,Calc!$B$2)),Calc!$B$16=0),"",IF(N(AB14)&lt;=0.005,"",IF(Start!$D$10="Avalanche",INDEX(Calc!AC$75:AC$89,Calc!$F$16),INDEX(Calc!AC$50:AC$64,Calc!$D$16))))</f>
        <v/>
      </c>
      <c r="AC15" s="20">
        <f>IF(AD15="","",N(AD14)*(1+Start!$E$25/12)-AD15)</f>
        <v/>
      </c>
      <c r="AD15" s="20">
        <f>IF(OR(OR(Calc!$B$4=0,$B15&gt;IF(Start!$D$10="Avalanche",Calc!$B$3,Calc!$B$2)),Calc!$B$17=0),"",IF(N(AD14)&lt;=0.005,"",IF(Start!$D$10="Avalanche",INDEX(Calc!AC$75:AC$89,Calc!$F$17),INDEX(Calc!AC$50:AC$64,Calc!$D$17))))</f>
        <v/>
      </c>
      <c r="AE15" s="20">
        <f>IF(AF15="","",N(AF14)*(1+Start!$E$26/12)-AF15)</f>
        <v/>
      </c>
      <c r="AF15" s="20">
        <f>IF(OR(OR(Calc!$B$4=0,$B15&gt;IF(Start!$D$10="Avalanche",Calc!$B$3,Calc!$B$2)),Calc!$B$18=0),"",IF(N(AF14)&lt;=0.005,"",IF(Start!$D$10="Avalanche",INDEX(Calc!AC$75:AC$89,Calc!$F$18),INDEX(Calc!AC$50:AC$64,Calc!$D$18))))</f>
        <v/>
      </c>
      <c r="AG15" s="20">
        <f>IF(AH15="","",N(AH14)*(1+Start!$E$27/12)-AH15)</f>
        <v/>
      </c>
      <c r="AH15" s="20">
        <f>IF(OR(OR(Calc!$B$4=0,$B15&gt;IF(Start!$D$10="Avalanche",Calc!$B$3,Calc!$B$2)),Calc!$B$19=0),"",IF(N(AH14)&lt;=0.005,"",IF(Start!$D$10="Avalanche",INDEX(Calc!AC$75:AC$89,Calc!$F$19),INDEX(Calc!AC$50:AC$64,Calc!$D$19))))</f>
        <v/>
      </c>
      <c r="AI15" s="20">
        <f>IF(AJ15="","",N(AJ14)*(1+Start!$E$28/12)-AJ15)</f>
        <v/>
      </c>
      <c r="AJ15" s="20">
        <f>IF(OR(OR(Calc!$B$4=0,$B15&gt;IF(Start!$D$10="Avalanche",Calc!$B$3,Calc!$B$2)),Calc!$B$20=0),"",IF(N(AJ14)&lt;=0.005,"",IF(Start!$D$10="Avalanche",INDEX(Calc!AC$75:AC$89,Calc!$F$20),INDEX(Calc!AC$50:AC$64,Calc!$D$20))))</f>
        <v/>
      </c>
    </row>
    <row r="16">
      <c r="B16" s="17" t="n">
        <v>10</v>
      </c>
      <c r="C16" s="19">
        <f>IF(Calc!$B$4=0,"",EDATE(Start!$D$11,9))</f>
        <v/>
      </c>
      <c r="D16" s="20">
        <f>IF(OR(Calc!$B$4=0,$B16&gt;IF(Start!$D$10="Avalanche",Calc!$B$3,Calc!$B$2)),"",SUM(G16,I16,K16,M16,O16,Q16,S16,U16,W16,Y16,AA16,AC16,AE16,AG16,AI16))</f>
        <v/>
      </c>
      <c r="E16" s="20">
        <f>IF(OR(Calc!$B$4=0,$B16&gt;IF(Start!$D$10="Avalanche",Calc!$B$3,Calc!$B$2)),"",IF(Start!$D$10="Avalanche",Calc!AD$72,Calc!AD$47))</f>
        <v/>
      </c>
      <c r="F16" s="21">
        <f>IF(Calc!$B$4=0,"",IF($B16&gt;IF(Start!$D$10="Avalanche",Calc!$B$3,Calc!$B$2),NA(),SUM(H16,J16,L16,N16,P16,R16,T16,V16,X16,Z16,AB16,AD16,AF16,AH16,AJ16)))</f>
        <v/>
      </c>
      <c r="G16" s="20">
        <f>IF(H16="","",N(H15)*(1+Start!$E$14/12)-H16)</f>
        <v/>
      </c>
      <c r="H16" s="20">
        <f>IF(OR(OR(Calc!$B$4=0,$B16&gt;IF(Start!$D$10="Avalanche",Calc!$B$3,Calc!$B$2)),Calc!$B$6=0),"",IF(N(H15)&lt;=0.005,"",IF(Start!$D$10="Avalanche",INDEX(Calc!AF$75:AF$89,Calc!$F$6),INDEX(Calc!AF$50:AF$64,Calc!$D$6))))</f>
        <v/>
      </c>
      <c r="I16" s="20">
        <f>IF(J16="","",N(J15)*(1+Start!$E$15/12)-J16)</f>
        <v/>
      </c>
      <c r="J16" s="20">
        <f>IF(OR(OR(Calc!$B$4=0,$B16&gt;IF(Start!$D$10="Avalanche",Calc!$B$3,Calc!$B$2)),Calc!$B$7=0),"",IF(N(J15)&lt;=0.005,"",IF(Start!$D$10="Avalanche",INDEX(Calc!AF$75:AF$89,Calc!$F$7),INDEX(Calc!AF$50:AF$64,Calc!$D$7))))</f>
        <v/>
      </c>
      <c r="K16" s="20">
        <f>IF(L16="","",N(L15)*(1+Start!$E$16/12)-L16)</f>
        <v/>
      </c>
      <c r="L16" s="20">
        <f>IF(OR(OR(Calc!$B$4=0,$B16&gt;IF(Start!$D$10="Avalanche",Calc!$B$3,Calc!$B$2)),Calc!$B$8=0),"",IF(N(L15)&lt;=0.005,"",IF(Start!$D$10="Avalanche",INDEX(Calc!AF$75:AF$89,Calc!$F$8),INDEX(Calc!AF$50:AF$64,Calc!$D$8))))</f>
        <v/>
      </c>
      <c r="M16" s="20">
        <f>IF(N16="","",N(N15)*(1+Start!$E$17/12)-N16)</f>
        <v/>
      </c>
      <c r="N16" s="20">
        <f>IF(OR(OR(Calc!$B$4=0,$B16&gt;IF(Start!$D$10="Avalanche",Calc!$B$3,Calc!$B$2)),Calc!$B$9=0),"",IF(N(N15)&lt;=0.005,"",IF(Start!$D$10="Avalanche",INDEX(Calc!AF$75:AF$89,Calc!$F$9),INDEX(Calc!AF$50:AF$64,Calc!$D$9))))</f>
        <v/>
      </c>
      <c r="O16" s="20">
        <f>IF(P16="","",N(P15)*(1+Start!$E$18/12)-P16)</f>
        <v/>
      </c>
      <c r="P16" s="20">
        <f>IF(OR(OR(Calc!$B$4=0,$B16&gt;IF(Start!$D$10="Avalanche",Calc!$B$3,Calc!$B$2)),Calc!$B$10=0),"",IF(N(P15)&lt;=0.005,"",IF(Start!$D$10="Avalanche",INDEX(Calc!AF$75:AF$89,Calc!$F$10),INDEX(Calc!AF$50:AF$64,Calc!$D$10))))</f>
        <v/>
      </c>
      <c r="Q16" s="20">
        <f>IF(R16="","",N(R15)*(1+Start!$E$19/12)-R16)</f>
        <v/>
      </c>
      <c r="R16" s="20">
        <f>IF(OR(OR(Calc!$B$4=0,$B16&gt;IF(Start!$D$10="Avalanche",Calc!$B$3,Calc!$B$2)),Calc!$B$11=0),"",IF(N(R15)&lt;=0.005,"",IF(Start!$D$10="Avalanche",INDEX(Calc!AF$75:AF$89,Calc!$F$11),INDEX(Calc!AF$50:AF$64,Calc!$D$11))))</f>
        <v/>
      </c>
      <c r="S16" s="20">
        <f>IF(T16="","",N(T15)*(1+Start!$E$20/12)-T16)</f>
        <v/>
      </c>
      <c r="T16" s="20">
        <f>IF(OR(OR(Calc!$B$4=0,$B16&gt;IF(Start!$D$10="Avalanche",Calc!$B$3,Calc!$B$2)),Calc!$B$12=0),"",IF(N(T15)&lt;=0.005,"",IF(Start!$D$10="Avalanche",INDEX(Calc!AF$75:AF$89,Calc!$F$12),INDEX(Calc!AF$50:AF$64,Calc!$D$12))))</f>
        <v/>
      </c>
      <c r="U16" s="20">
        <f>IF(V16="","",N(V15)*(1+Start!$E$21/12)-V16)</f>
        <v/>
      </c>
      <c r="V16" s="20">
        <f>IF(OR(OR(Calc!$B$4=0,$B16&gt;IF(Start!$D$10="Avalanche",Calc!$B$3,Calc!$B$2)),Calc!$B$13=0),"",IF(N(V15)&lt;=0.005,"",IF(Start!$D$10="Avalanche",INDEX(Calc!AF$75:AF$89,Calc!$F$13),INDEX(Calc!AF$50:AF$64,Calc!$D$13))))</f>
        <v/>
      </c>
      <c r="W16" s="20">
        <f>IF(X16="","",N(X15)*(1+Start!$E$22/12)-X16)</f>
        <v/>
      </c>
      <c r="X16" s="20">
        <f>IF(OR(OR(Calc!$B$4=0,$B16&gt;IF(Start!$D$10="Avalanche",Calc!$B$3,Calc!$B$2)),Calc!$B$14=0),"",IF(N(X15)&lt;=0.005,"",IF(Start!$D$10="Avalanche",INDEX(Calc!AF$75:AF$89,Calc!$F$14),INDEX(Calc!AF$50:AF$64,Calc!$D$14))))</f>
        <v/>
      </c>
      <c r="Y16" s="20">
        <f>IF(Z16="","",N(Z15)*(1+Start!$E$23/12)-Z16)</f>
        <v/>
      </c>
      <c r="Z16" s="20">
        <f>IF(OR(OR(Calc!$B$4=0,$B16&gt;IF(Start!$D$10="Avalanche",Calc!$B$3,Calc!$B$2)),Calc!$B$15=0),"",IF(N(Z15)&lt;=0.005,"",IF(Start!$D$10="Avalanche",INDEX(Calc!AF$75:AF$89,Calc!$F$15),INDEX(Calc!AF$50:AF$64,Calc!$D$15))))</f>
        <v/>
      </c>
      <c r="AA16" s="20">
        <f>IF(AB16="","",N(AB15)*(1+Start!$E$24/12)-AB16)</f>
        <v/>
      </c>
      <c r="AB16" s="20">
        <f>IF(OR(OR(Calc!$B$4=0,$B16&gt;IF(Start!$D$10="Avalanche",Calc!$B$3,Calc!$B$2)),Calc!$B$16=0),"",IF(N(AB15)&lt;=0.005,"",IF(Start!$D$10="Avalanche",INDEX(Calc!AF$75:AF$89,Calc!$F$16),INDEX(Calc!AF$50:AF$64,Calc!$D$16))))</f>
        <v/>
      </c>
      <c r="AC16" s="20">
        <f>IF(AD16="","",N(AD15)*(1+Start!$E$25/12)-AD16)</f>
        <v/>
      </c>
      <c r="AD16" s="20">
        <f>IF(OR(OR(Calc!$B$4=0,$B16&gt;IF(Start!$D$10="Avalanche",Calc!$B$3,Calc!$B$2)),Calc!$B$17=0),"",IF(N(AD15)&lt;=0.005,"",IF(Start!$D$10="Avalanche",INDEX(Calc!AF$75:AF$89,Calc!$F$17),INDEX(Calc!AF$50:AF$64,Calc!$D$17))))</f>
        <v/>
      </c>
      <c r="AE16" s="20">
        <f>IF(AF16="","",N(AF15)*(1+Start!$E$26/12)-AF16)</f>
        <v/>
      </c>
      <c r="AF16" s="20">
        <f>IF(OR(OR(Calc!$B$4=0,$B16&gt;IF(Start!$D$10="Avalanche",Calc!$B$3,Calc!$B$2)),Calc!$B$18=0),"",IF(N(AF15)&lt;=0.005,"",IF(Start!$D$10="Avalanche",INDEX(Calc!AF$75:AF$89,Calc!$F$18),INDEX(Calc!AF$50:AF$64,Calc!$D$18))))</f>
        <v/>
      </c>
      <c r="AG16" s="20">
        <f>IF(AH16="","",N(AH15)*(1+Start!$E$27/12)-AH16)</f>
        <v/>
      </c>
      <c r="AH16" s="20">
        <f>IF(OR(OR(Calc!$B$4=0,$B16&gt;IF(Start!$D$10="Avalanche",Calc!$B$3,Calc!$B$2)),Calc!$B$19=0),"",IF(N(AH15)&lt;=0.005,"",IF(Start!$D$10="Avalanche",INDEX(Calc!AF$75:AF$89,Calc!$F$19),INDEX(Calc!AF$50:AF$64,Calc!$D$19))))</f>
        <v/>
      </c>
      <c r="AI16" s="20">
        <f>IF(AJ16="","",N(AJ15)*(1+Start!$E$28/12)-AJ16)</f>
        <v/>
      </c>
      <c r="AJ16" s="20">
        <f>IF(OR(OR(Calc!$B$4=0,$B16&gt;IF(Start!$D$10="Avalanche",Calc!$B$3,Calc!$B$2)),Calc!$B$20=0),"",IF(N(AJ15)&lt;=0.005,"",IF(Start!$D$10="Avalanche",INDEX(Calc!AF$75:AF$89,Calc!$F$20),INDEX(Calc!AF$50:AF$64,Calc!$D$20))))</f>
        <v/>
      </c>
    </row>
    <row r="17">
      <c r="B17" s="17" t="n">
        <v>11</v>
      </c>
      <c r="C17" s="19">
        <f>IF(Calc!$B$4=0,"",EDATE(Start!$D$11,10))</f>
        <v/>
      </c>
      <c r="D17" s="20">
        <f>IF(OR(Calc!$B$4=0,$B17&gt;IF(Start!$D$10="Avalanche",Calc!$B$3,Calc!$B$2)),"",SUM(G17,I17,K17,M17,O17,Q17,S17,U17,W17,Y17,AA17,AC17,AE17,AG17,AI17))</f>
        <v/>
      </c>
      <c r="E17" s="20">
        <f>IF(OR(Calc!$B$4=0,$B17&gt;IF(Start!$D$10="Avalanche",Calc!$B$3,Calc!$B$2)),"",IF(Start!$D$10="Avalanche",Calc!AG$72,Calc!AG$47))</f>
        <v/>
      </c>
      <c r="F17" s="21">
        <f>IF(Calc!$B$4=0,"",IF($B17&gt;IF(Start!$D$10="Avalanche",Calc!$B$3,Calc!$B$2),NA(),SUM(H17,J17,L17,N17,P17,R17,T17,V17,X17,Z17,AB17,AD17,AF17,AH17,AJ17)))</f>
        <v/>
      </c>
      <c r="G17" s="20">
        <f>IF(H17="","",N(H16)*(1+Start!$E$14/12)-H17)</f>
        <v/>
      </c>
      <c r="H17" s="20">
        <f>IF(OR(OR(Calc!$B$4=0,$B17&gt;IF(Start!$D$10="Avalanche",Calc!$B$3,Calc!$B$2)),Calc!$B$6=0),"",IF(N(H16)&lt;=0.005,"",IF(Start!$D$10="Avalanche",INDEX(Calc!AI$75:AI$89,Calc!$F$6),INDEX(Calc!AI$50:AI$64,Calc!$D$6))))</f>
        <v/>
      </c>
      <c r="I17" s="20">
        <f>IF(J17="","",N(J16)*(1+Start!$E$15/12)-J17)</f>
        <v/>
      </c>
      <c r="J17" s="20">
        <f>IF(OR(OR(Calc!$B$4=0,$B17&gt;IF(Start!$D$10="Avalanche",Calc!$B$3,Calc!$B$2)),Calc!$B$7=0),"",IF(N(J16)&lt;=0.005,"",IF(Start!$D$10="Avalanche",INDEX(Calc!AI$75:AI$89,Calc!$F$7),INDEX(Calc!AI$50:AI$64,Calc!$D$7))))</f>
        <v/>
      </c>
      <c r="K17" s="20">
        <f>IF(L17="","",N(L16)*(1+Start!$E$16/12)-L17)</f>
        <v/>
      </c>
      <c r="L17" s="20">
        <f>IF(OR(OR(Calc!$B$4=0,$B17&gt;IF(Start!$D$10="Avalanche",Calc!$B$3,Calc!$B$2)),Calc!$B$8=0),"",IF(N(L16)&lt;=0.005,"",IF(Start!$D$10="Avalanche",INDEX(Calc!AI$75:AI$89,Calc!$F$8),INDEX(Calc!AI$50:AI$64,Calc!$D$8))))</f>
        <v/>
      </c>
      <c r="M17" s="20">
        <f>IF(N17="","",N(N16)*(1+Start!$E$17/12)-N17)</f>
        <v/>
      </c>
      <c r="N17" s="20">
        <f>IF(OR(OR(Calc!$B$4=0,$B17&gt;IF(Start!$D$10="Avalanche",Calc!$B$3,Calc!$B$2)),Calc!$B$9=0),"",IF(N(N16)&lt;=0.005,"",IF(Start!$D$10="Avalanche",INDEX(Calc!AI$75:AI$89,Calc!$F$9),INDEX(Calc!AI$50:AI$64,Calc!$D$9))))</f>
        <v/>
      </c>
      <c r="O17" s="20">
        <f>IF(P17="","",N(P16)*(1+Start!$E$18/12)-P17)</f>
        <v/>
      </c>
      <c r="P17" s="20">
        <f>IF(OR(OR(Calc!$B$4=0,$B17&gt;IF(Start!$D$10="Avalanche",Calc!$B$3,Calc!$B$2)),Calc!$B$10=0),"",IF(N(P16)&lt;=0.005,"",IF(Start!$D$10="Avalanche",INDEX(Calc!AI$75:AI$89,Calc!$F$10),INDEX(Calc!AI$50:AI$64,Calc!$D$10))))</f>
        <v/>
      </c>
      <c r="Q17" s="20">
        <f>IF(R17="","",N(R16)*(1+Start!$E$19/12)-R17)</f>
        <v/>
      </c>
      <c r="R17" s="20">
        <f>IF(OR(OR(Calc!$B$4=0,$B17&gt;IF(Start!$D$10="Avalanche",Calc!$B$3,Calc!$B$2)),Calc!$B$11=0),"",IF(N(R16)&lt;=0.005,"",IF(Start!$D$10="Avalanche",INDEX(Calc!AI$75:AI$89,Calc!$F$11),INDEX(Calc!AI$50:AI$64,Calc!$D$11))))</f>
        <v/>
      </c>
      <c r="S17" s="20">
        <f>IF(T17="","",N(T16)*(1+Start!$E$20/12)-T17)</f>
        <v/>
      </c>
      <c r="T17" s="20">
        <f>IF(OR(OR(Calc!$B$4=0,$B17&gt;IF(Start!$D$10="Avalanche",Calc!$B$3,Calc!$B$2)),Calc!$B$12=0),"",IF(N(T16)&lt;=0.005,"",IF(Start!$D$10="Avalanche",INDEX(Calc!AI$75:AI$89,Calc!$F$12),INDEX(Calc!AI$50:AI$64,Calc!$D$12))))</f>
        <v/>
      </c>
      <c r="U17" s="20">
        <f>IF(V17="","",N(V16)*(1+Start!$E$21/12)-V17)</f>
        <v/>
      </c>
      <c r="V17" s="20">
        <f>IF(OR(OR(Calc!$B$4=0,$B17&gt;IF(Start!$D$10="Avalanche",Calc!$B$3,Calc!$B$2)),Calc!$B$13=0),"",IF(N(V16)&lt;=0.005,"",IF(Start!$D$10="Avalanche",INDEX(Calc!AI$75:AI$89,Calc!$F$13),INDEX(Calc!AI$50:AI$64,Calc!$D$13))))</f>
        <v/>
      </c>
      <c r="W17" s="20">
        <f>IF(X17="","",N(X16)*(1+Start!$E$22/12)-X17)</f>
        <v/>
      </c>
      <c r="X17" s="20">
        <f>IF(OR(OR(Calc!$B$4=0,$B17&gt;IF(Start!$D$10="Avalanche",Calc!$B$3,Calc!$B$2)),Calc!$B$14=0),"",IF(N(X16)&lt;=0.005,"",IF(Start!$D$10="Avalanche",INDEX(Calc!AI$75:AI$89,Calc!$F$14),INDEX(Calc!AI$50:AI$64,Calc!$D$14))))</f>
        <v/>
      </c>
      <c r="Y17" s="20">
        <f>IF(Z17="","",N(Z16)*(1+Start!$E$23/12)-Z17)</f>
        <v/>
      </c>
      <c r="Z17" s="20">
        <f>IF(OR(OR(Calc!$B$4=0,$B17&gt;IF(Start!$D$10="Avalanche",Calc!$B$3,Calc!$B$2)),Calc!$B$15=0),"",IF(N(Z16)&lt;=0.005,"",IF(Start!$D$10="Avalanche",INDEX(Calc!AI$75:AI$89,Calc!$F$15),INDEX(Calc!AI$50:AI$64,Calc!$D$15))))</f>
        <v/>
      </c>
      <c r="AA17" s="20">
        <f>IF(AB17="","",N(AB16)*(1+Start!$E$24/12)-AB17)</f>
        <v/>
      </c>
      <c r="AB17" s="20">
        <f>IF(OR(OR(Calc!$B$4=0,$B17&gt;IF(Start!$D$10="Avalanche",Calc!$B$3,Calc!$B$2)),Calc!$B$16=0),"",IF(N(AB16)&lt;=0.005,"",IF(Start!$D$10="Avalanche",INDEX(Calc!AI$75:AI$89,Calc!$F$16),INDEX(Calc!AI$50:AI$64,Calc!$D$16))))</f>
        <v/>
      </c>
      <c r="AC17" s="20">
        <f>IF(AD17="","",N(AD16)*(1+Start!$E$25/12)-AD17)</f>
        <v/>
      </c>
      <c r="AD17" s="20">
        <f>IF(OR(OR(Calc!$B$4=0,$B17&gt;IF(Start!$D$10="Avalanche",Calc!$B$3,Calc!$B$2)),Calc!$B$17=0),"",IF(N(AD16)&lt;=0.005,"",IF(Start!$D$10="Avalanche",INDEX(Calc!AI$75:AI$89,Calc!$F$17),INDEX(Calc!AI$50:AI$64,Calc!$D$17))))</f>
        <v/>
      </c>
      <c r="AE17" s="20">
        <f>IF(AF17="","",N(AF16)*(1+Start!$E$26/12)-AF17)</f>
        <v/>
      </c>
      <c r="AF17" s="20">
        <f>IF(OR(OR(Calc!$B$4=0,$B17&gt;IF(Start!$D$10="Avalanche",Calc!$B$3,Calc!$B$2)),Calc!$B$18=0),"",IF(N(AF16)&lt;=0.005,"",IF(Start!$D$10="Avalanche",INDEX(Calc!AI$75:AI$89,Calc!$F$18),INDEX(Calc!AI$50:AI$64,Calc!$D$18))))</f>
        <v/>
      </c>
      <c r="AG17" s="20">
        <f>IF(AH17="","",N(AH16)*(1+Start!$E$27/12)-AH17)</f>
        <v/>
      </c>
      <c r="AH17" s="20">
        <f>IF(OR(OR(Calc!$B$4=0,$B17&gt;IF(Start!$D$10="Avalanche",Calc!$B$3,Calc!$B$2)),Calc!$B$19=0),"",IF(N(AH16)&lt;=0.005,"",IF(Start!$D$10="Avalanche",INDEX(Calc!AI$75:AI$89,Calc!$F$19),INDEX(Calc!AI$50:AI$64,Calc!$D$19))))</f>
        <v/>
      </c>
      <c r="AI17" s="20">
        <f>IF(AJ17="","",N(AJ16)*(1+Start!$E$28/12)-AJ17)</f>
        <v/>
      </c>
      <c r="AJ17" s="20">
        <f>IF(OR(OR(Calc!$B$4=0,$B17&gt;IF(Start!$D$10="Avalanche",Calc!$B$3,Calc!$B$2)),Calc!$B$20=0),"",IF(N(AJ16)&lt;=0.005,"",IF(Start!$D$10="Avalanche",INDEX(Calc!AI$75:AI$89,Calc!$F$20),INDEX(Calc!AI$50:AI$64,Calc!$D$20))))</f>
        <v/>
      </c>
    </row>
    <row r="18">
      <c r="B18" s="17" t="n">
        <v>12</v>
      </c>
      <c r="C18" s="19">
        <f>IF(Calc!$B$4=0,"",EDATE(Start!$D$11,11))</f>
        <v/>
      </c>
      <c r="D18" s="20">
        <f>IF(OR(Calc!$B$4=0,$B18&gt;IF(Start!$D$10="Avalanche",Calc!$B$3,Calc!$B$2)),"",SUM(G18,I18,K18,M18,O18,Q18,S18,U18,W18,Y18,AA18,AC18,AE18,AG18,AI18))</f>
        <v/>
      </c>
      <c r="E18" s="20">
        <f>IF(OR(Calc!$B$4=0,$B18&gt;IF(Start!$D$10="Avalanche",Calc!$B$3,Calc!$B$2)),"",IF(Start!$D$10="Avalanche",Calc!AJ$72,Calc!AJ$47))</f>
        <v/>
      </c>
      <c r="F18" s="21">
        <f>IF(Calc!$B$4=0,"",IF($B18&gt;IF(Start!$D$10="Avalanche",Calc!$B$3,Calc!$B$2),NA(),SUM(H18,J18,L18,N18,P18,R18,T18,V18,X18,Z18,AB18,AD18,AF18,AH18,AJ18)))</f>
        <v/>
      </c>
      <c r="G18" s="20">
        <f>IF(H18="","",N(H17)*(1+Start!$E$14/12)-H18)</f>
        <v/>
      </c>
      <c r="H18" s="20">
        <f>IF(OR(OR(Calc!$B$4=0,$B18&gt;IF(Start!$D$10="Avalanche",Calc!$B$3,Calc!$B$2)),Calc!$B$6=0),"",IF(N(H17)&lt;=0.005,"",IF(Start!$D$10="Avalanche",INDEX(Calc!AL$75:AL$89,Calc!$F$6),INDEX(Calc!AL$50:AL$64,Calc!$D$6))))</f>
        <v/>
      </c>
      <c r="I18" s="20">
        <f>IF(J18="","",N(J17)*(1+Start!$E$15/12)-J18)</f>
        <v/>
      </c>
      <c r="J18" s="20">
        <f>IF(OR(OR(Calc!$B$4=0,$B18&gt;IF(Start!$D$10="Avalanche",Calc!$B$3,Calc!$B$2)),Calc!$B$7=0),"",IF(N(J17)&lt;=0.005,"",IF(Start!$D$10="Avalanche",INDEX(Calc!AL$75:AL$89,Calc!$F$7),INDEX(Calc!AL$50:AL$64,Calc!$D$7))))</f>
        <v/>
      </c>
      <c r="K18" s="20">
        <f>IF(L18="","",N(L17)*(1+Start!$E$16/12)-L18)</f>
        <v/>
      </c>
      <c r="L18" s="20">
        <f>IF(OR(OR(Calc!$B$4=0,$B18&gt;IF(Start!$D$10="Avalanche",Calc!$B$3,Calc!$B$2)),Calc!$B$8=0),"",IF(N(L17)&lt;=0.005,"",IF(Start!$D$10="Avalanche",INDEX(Calc!AL$75:AL$89,Calc!$F$8),INDEX(Calc!AL$50:AL$64,Calc!$D$8))))</f>
        <v/>
      </c>
      <c r="M18" s="20">
        <f>IF(N18="","",N(N17)*(1+Start!$E$17/12)-N18)</f>
        <v/>
      </c>
      <c r="N18" s="20">
        <f>IF(OR(OR(Calc!$B$4=0,$B18&gt;IF(Start!$D$10="Avalanche",Calc!$B$3,Calc!$B$2)),Calc!$B$9=0),"",IF(N(N17)&lt;=0.005,"",IF(Start!$D$10="Avalanche",INDEX(Calc!AL$75:AL$89,Calc!$F$9),INDEX(Calc!AL$50:AL$64,Calc!$D$9))))</f>
        <v/>
      </c>
      <c r="O18" s="20">
        <f>IF(P18="","",N(P17)*(1+Start!$E$18/12)-P18)</f>
        <v/>
      </c>
      <c r="P18" s="20">
        <f>IF(OR(OR(Calc!$B$4=0,$B18&gt;IF(Start!$D$10="Avalanche",Calc!$B$3,Calc!$B$2)),Calc!$B$10=0),"",IF(N(P17)&lt;=0.005,"",IF(Start!$D$10="Avalanche",INDEX(Calc!AL$75:AL$89,Calc!$F$10),INDEX(Calc!AL$50:AL$64,Calc!$D$10))))</f>
        <v/>
      </c>
      <c r="Q18" s="20">
        <f>IF(R18="","",N(R17)*(1+Start!$E$19/12)-R18)</f>
        <v/>
      </c>
      <c r="R18" s="20">
        <f>IF(OR(OR(Calc!$B$4=0,$B18&gt;IF(Start!$D$10="Avalanche",Calc!$B$3,Calc!$B$2)),Calc!$B$11=0),"",IF(N(R17)&lt;=0.005,"",IF(Start!$D$10="Avalanche",INDEX(Calc!AL$75:AL$89,Calc!$F$11),INDEX(Calc!AL$50:AL$64,Calc!$D$11))))</f>
        <v/>
      </c>
      <c r="S18" s="20">
        <f>IF(T18="","",N(T17)*(1+Start!$E$20/12)-T18)</f>
        <v/>
      </c>
      <c r="T18" s="20">
        <f>IF(OR(OR(Calc!$B$4=0,$B18&gt;IF(Start!$D$10="Avalanche",Calc!$B$3,Calc!$B$2)),Calc!$B$12=0),"",IF(N(T17)&lt;=0.005,"",IF(Start!$D$10="Avalanche",INDEX(Calc!AL$75:AL$89,Calc!$F$12),INDEX(Calc!AL$50:AL$64,Calc!$D$12))))</f>
        <v/>
      </c>
      <c r="U18" s="20">
        <f>IF(V18="","",N(V17)*(1+Start!$E$21/12)-V18)</f>
        <v/>
      </c>
      <c r="V18" s="20">
        <f>IF(OR(OR(Calc!$B$4=0,$B18&gt;IF(Start!$D$10="Avalanche",Calc!$B$3,Calc!$B$2)),Calc!$B$13=0),"",IF(N(V17)&lt;=0.005,"",IF(Start!$D$10="Avalanche",INDEX(Calc!AL$75:AL$89,Calc!$F$13),INDEX(Calc!AL$50:AL$64,Calc!$D$13))))</f>
        <v/>
      </c>
      <c r="W18" s="20">
        <f>IF(X18="","",N(X17)*(1+Start!$E$22/12)-X18)</f>
        <v/>
      </c>
      <c r="X18" s="20">
        <f>IF(OR(OR(Calc!$B$4=0,$B18&gt;IF(Start!$D$10="Avalanche",Calc!$B$3,Calc!$B$2)),Calc!$B$14=0),"",IF(N(X17)&lt;=0.005,"",IF(Start!$D$10="Avalanche",INDEX(Calc!AL$75:AL$89,Calc!$F$14),INDEX(Calc!AL$50:AL$64,Calc!$D$14))))</f>
        <v/>
      </c>
      <c r="Y18" s="20">
        <f>IF(Z18="","",N(Z17)*(1+Start!$E$23/12)-Z18)</f>
        <v/>
      </c>
      <c r="Z18" s="20">
        <f>IF(OR(OR(Calc!$B$4=0,$B18&gt;IF(Start!$D$10="Avalanche",Calc!$B$3,Calc!$B$2)),Calc!$B$15=0),"",IF(N(Z17)&lt;=0.005,"",IF(Start!$D$10="Avalanche",INDEX(Calc!AL$75:AL$89,Calc!$F$15),INDEX(Calc!AL$50:AL$64,Calc!$D$15))))</f>
        <v/>
      </c>
      <c r="AA18" s="20">
        <f>IF(AB18="","",N(AB17)*(1+Start!$E$24/12)-AB18)</f>
        <v/>
      </c>
      <c r="AB18" s="20">
        <f>IF(OR(OR(Calc!$B$4=0,$B18&gt;IF(Start!$D$10="Avalanche",Calc!$B$3,Calc!$B$2)),Calc!$B$16=0),"",IF(N(AB17)&lt;=0.005,"",IF(Start!$D$10="Avalanche",INDEX(Calc!AL$75:AL$89,Calc!$F$16),INDEX(Calc!AL$50:AL$64,Calc!$D$16))))</f>
        <v/>
      </c>
      <c r="AC18" s="20">
        <f>IF(AD18="","",N(AD17)*(1+Start!$E$25/12)-AD18)</f>
        <v/>
      </c>
      <c r="AD18" s="20">
        <f>IF(OR(OR(Calc!$B$4=0,$B18&gt;IF(Start!$D$10="Avalanche",Calc!$B$3,Calc!$B$2)),Calc!$B$17=0),"",IF(N(AD17)&lt;=0.005,"",IF(Start!$D$10="Avalanche",INDEX(Calc!AL$75:AL$89,Calc!$F$17),INDEX(Calc!AL$50:AL$64,Calc!$D$17))))</f>
        <v/>
      </c>
      <c r="AE18" s="20">
        <f>IF(AF18="","",N(AF17)*(1+Start!$E$26/12)-AF18)</f>
        <v/>
      </c>
      <c r="AF18" s="20">
        <f>IF(OR(OR(Calc!$B$4=0,$B18&gt;IF(Start!$D$10="Avalanche",Calc!$B$3,Calc!$B$2)),Calc!$B$18=0),"",IF(N(AF17)&lt;=0.005,"",IF(Start!$D$10="Avalanche",INDEX(Calc!AL$75:AL$89,Calc!$F$18),INDEX(Calc!AL$50:AL$64,Calc!$D$18))))</f>
        <v/>
      </c>
      <c r="AG18" s="20">
        <f>IF(AH18="","",N(AH17)*(1+Start!$E$27/12)-AH18)</f>
        <v/>
      </c>
      <c r="AH18" s="20">
        <f>IF(OR(OR(Calc!$B$4=0,$B18&gt;IF(Start!$D$10="Avalanche",Calc!$B$3,Calc!$B$2)),Calc!$B$19=0),"",IF(N(AH17)&lt;=0.005,"",IF(Start!$D$10="Avalanche",INDEX(Calc!AL$75:AL$89,Calc!$F$19),INDEX(Calc!AL$50:AL$64,Calc!$D$19))))</f>
        <v/>
      </c>
      <c r="AI18" s="20">
        <f>IF(AJ18="","",N(AJ17)*(1+Start!$E$28/12)-AJ18)</f>
        <v/>
      </c>
      <c r="AJ18" s="20">
        <f>IF(OR(OR(Calc!$B$4=0,$B18&gt;IF(Start!$D$10="Avalanche",Calc!$B$3,Calc!$B$2)),Calc!$B$20=0),"",IF(N(AJ17)&lt;=0.005,"",IF(Start!$D$10="Avalanche",INDEX(Calc!AL$75:AL$89,Calc!$F$20),INDEX(Calc!AL$50:AL$64,Calc!$D$20))))</f>
        <v/>
      </c>
    </row>
    <row r="19">
      <c r="B19" s="17" t="n">
        <v>13</v>
      </c>
      <c r="C19" s="19">
        <f>IF(Calc!$B$4=0,"",EDATE(Start!$D$11,12))</f>
        <v/>
      </c>
      <c r="D19" s="20">
        <f>IF(OR(Calc!$B$4=0,$B19&gt;IF(Start!$D$10="Avalanche",Calc!$B$3,Calc!$B$2)),"",SUM(G19,I19,K19,M19,O19,Q19,S19,U19,W19,Y19,AA19,AC19,AE19,AG19,AI19))</f>
        <v/>
      </c>
      <c r="E19" s="20">
        <f>IF(OR(Calc!$B$4=0,$B19&gt;IF(Start!$D$10="Avalanche",Calc!$B$3,Calc!$B$2)),"",IF(Start!$D$10="Avalanche",Calc!AM$72,Calc!AM$47))</f>
        <v/>
      </c>
      <c r="F19" s="21">
        <f>IF(Calc!$B$4=0,"",IF($B19&gt;IF(Start!$D$10="Avalanche",Calc!$B$3,Calc!$B$2),NA(),SUM(H19,J19,L19,N19,P19,R19,T19,V19,X19,Z19,AB19,AD19,AF19,AH19,AJ19)))</f>
        <v/>
      </c>
      <c r="G19" s="20">
        <f>IF(H19="","",N(H18)*(1+Start!$E$14/12)-H19)</f>
        <v/>
      </c>
      <c r="H19" s="20">
        <f>IF(OR(OR(Calc!$B$4=0,$B19&gt;IF(Start!$D$10="Avalanche",Calc!$B$3,Calc!$B$2)),Calc!$B$6=0),"",IF(N(H18)&lt;=0.005,"",IF(Start!$D$10="Avalanche",INDEX(Calc!AO$75:AO$89,Calc!$F$6),INDEX(Calc!AO$50:AO$64,Calc!$D$6))))</f>
        <v/>
      </c>
      <c r="I19" s="20">
        <f>IF(J19="","",N(J18)*(1+Start!$E$15/12)-J19)</f>
        <v/>
      </c>
      <c r="J19" s="20">
        <f>IF(OR(OR(Calc!$B$4=0,$B19&gt;IF(Start!$D$10="Avalanche",Calc!$B$3,Calc!$B$2)),Calc!$B$7=0),"",IF(N(J18)&lt;=0.005,"",IF(Start!$D$10="Avalanche",INDEX(Calc!AO$75:AO$89,Calc!$F$7),INDEX(Calc!AO$50:AO$64,Calc!$D$7))))</f>
        <v/>
      </c>
      <c r="K19" s="20">
        <f>IF(L19="","",N(L18)*(1+Start!$E$16/12)-L19)</f>
        <v/>
      </c>
      <c r="L19" s="20">
        <f>IF(OR(OR(Calc!$B$4=0,$B19&gt;IF(Start!$D$10="Avalanche",Calc!$B$3,Calc!$B$2)),Calc!$B$8=0),"",IF(N(L18)&lt;=0.005,"",IF(Start!$D$10="Avalanche",INDEX(Calc!AO$75:AO$89,Calc!$F$8),INDEX(Calc!AO$50:AO$64,Calc!$D$8))))</f>
        <v/>
      </c>
      <c r="M19" s="20">
        <f>IF(N19="","",N(N18)*(1+Start!$E$17/12)-N19)</f>
        <v/>
      </c>
      <c r="N19" s="20">
        <f>IF(OR(OR(Calc!$B$4=0,$B19&gt;IF(Start!$D$10="Avalanche",Calc!$B$3,Calc!$B$2)),Calc!$B$9=0),"",IF(N(N18)&lt;=0.005,"",IF(Start!$D$10="Avalanche",INDEX(Calc!AO$75:AO$89,Calc!$F$9),INDEX(Calc!AO$50:AO$64,Calc!$D$9))))</f>
        <v/>
      </c>
      <c r="O19" s="20">
        <f>IF(P19="","",N(P18)*(1+Start!$E$18/12)-P19)</f>
        <v/>
      </c>
      <c r="P19" s="20">
        <f>IF(OR(OR(Calc!$B$4=0,$B19&gt;IF(Start!$D$10="Avalanche",Calc!$B$3,Calc!$B$2)),Calc!$B$10=0),"",IF(N(P18)&lt;=0.005,"",IF(Start!$D$10="Avalanche",INDEX(Calc!AO$75:AO$89,Calc!$F$10),INDEX(Calc!AO$50:AO$64,Calc!$D$10))))</f>
        <v/>
      </c>
      <c r="Q19" s="20">
        <f>IF(R19="","",N(R18)*(1+Start!$E$19/12)-R19)</f>
        <v/>
      </c>
      <c r="R19" s="20">
        <f>IF(OR(OR(Calc!$B$4=0,$B19&gt;IF(Start!$D$10="Avalanche",Calc!$B$3,Calc!$B$2)),Calc!$B$11=0),"",IF(N(R18)&lt;=0.005,"",IF(Start!$D$10="Avalanche",INDEX(Calc!AO$75:AO$89,Calc!$F$11),INDEX(Calc!AO$50:AO$64,Calc!$D$11))))</f>
        <v/>
      </c>
      <c r="S19" s="20">
        <f>IF(T19="","",N(T18)*(1+Start!$E$20/12)-T19)</f>
        <v/>
      </c>
      <c r="T19" s="20">
        <f>IF(OR(OR(Calc!$B$4=0,$B19&gt;IF(Start!$D$10="Avalanche",Calc!$B$3,Calc!$B$2)),Calc!$B$12=0),"",IF(N(T18)&lt;=0.005,"",IF(Start!$D$10="Avalanche",INDEX(Calc!AO$75:AO$89,Calc!$F$12),INDEX(Calc!AO$50:AO$64,Calc!$D$12))))</f>
        <v/>
      </c>
      <c r="U19" s="20">
        <f>IF(V19="","",N(V18)*(1+Start!$E$21/12)-V19)</f>
        <v/>
      </c>
      <c r="V19" s="20">
        <f>IF(OR(OR(Calc!$B$4=0,$B19&gt;IF(Start!$D$10="Avalanche",Calc!$B$3,Calc!$B$2)),Calc!$B$13=0),"",IF(N(V18)&lt;=0.005,"",IF(Start!$D$10="Avalanche",INDEX(Calc!AO$75:AO$89,Calc!$F$13),INDEX(Calc!AO$50:AO$64,Calc!$D$13))))</f>
        <v/>
      </c>
      <c r="W19" s="20">
        <f>IF(X19="","",N(X18)*(1+Start!$E$22/12)-X19)</f>
        <v/>
      </c>
      <c r="X19" s="20">
        <f>IF(OR(OR(Calc!$B$4=0,$B19&gt;IF(Start!$D$10="Avalanche",Calc!$B$3,Calc!$B$2)),Calc!$B$14=0),"",IF(N(X18)&lt;=0.005,"",IF(Start!$D$10="Avalanche",INDEX(Calc!AO$75:AO$89,Calc!$F$14),INDEX(Calc!AO$50:AO$64,Calc!$D$14))))</f>
        <v/>
      </c>
      <c r="Y19" s="20">
        <f>IF(Z19="","",N(Z18)*(1+Start!$E$23/12)-Z19)</f>
        <v/>
      </c>
      <c r="Z19" s="20">
        <f>IF(OR(OR(Calc!$B$4=0,$B19&gt;IF(Start!$D$10="Avalanche",Calc!$B$3,Calc!$B$2)),Calc!$B$15=0),"",IF(N(Z18)&lt;=0.005,"",IF(Start!$D$10="Avalanche",INDEX(Calc!AO$75:AO$89,Calc!$F$15),INDEX(Calc!AO$50:AO$64,Calc!$D$15))))</f>
        <v/>
      </c>
      <c r="AA19" s="20">
        <f>IF(AB19="","",N(AB18)*(1+Start!$E$24/12)-AB19)</f>
        <v/>
      </c>
      <c r="AB19" s="20">
        <f>IF(OR(OR(Calc!$B$4=0,$B19&gt;IF(Start!$D$10="Avalanche",Calc!$B$3,Calc!$B$2)),Calc!$B$16=0),"",IF(N(AB18)&lt;=0.005,"",IF(Start!$D$10="Avalanche",INDEX(Calc!AO$75:AO$89,Calc!$F$16),INDEX(Calc!AO$50:AO$64,Calc!$D$16))))</f>
        <v/>
      </c>
      <c r="AC19" s="20">
        <f>IF(AD19="","",N(AD18)*(1+Start!$E$25/12)-AD19)</f>
        <v/>
      </c>
      <c r="AD19" s="20">
        <f>IF(OR(OR(Calc!$B$4=0,$B19&gt;IF(Start!$D$10="Avalanche",Calc!$B$3,Calc!$B$2)),Calc!$B$17=0),"",IF(N(AD18)&lt;=0.005,"",IF(Start!$D$10="Avalanche",INDEX(Calc!AO$75:AO$89,Calc!$F$17),INDEX(Calc!AO$50:AO$64,Calc!$D$17))))</f>
        <v/>
      </c>
      <c r="AE19" s="20">
        <f>IF(AF19="","",N(AF18)*(1+Start!$E$26/12)-AF19)</f>
        <v/>
      </c>
      <c r="AF19" s="20">
        <f>IF(OR(OR(Calc!$B$4=0,$B19&gt;IF(Start!$D$10="Avalanche",Calc!$B$3,Calc!$B$2)),Calc!$B$18=0),"",IF(N(AF18)&lt;=0.005,"",IF(Start!$D$10="Avalanche",INDEX(Calc!AO$75:AO$89,Calc!$F$18),INDEX(Calc!AO$50:AO$64,Calc!$D$18))))</f>
        <v/>
      </c>
      <c r="AG19" s="20">
        <f>IF(AH19="","",N(AH18)*(1+Start!$E$27/12)-AH19)</f>
        <v/>
      </c>
      <c r="AH19" s="20">
        <f>IF(OR(OR(Calc!$B$4=0,$B19&gt;IF(Start!$D$10="Avalanche",Calc!$B$3,Calc!$B$2)),Calc!$B$19=0),"",IF(N(AH18)&lt;=0.005,"",IF(Start!$D$10="Avalanche",INDEX(Calc!AO$75:AO$89,Calc!$F$19),INDEX(Calc!AO$50:AO$64,Calc!$D$19))))</f>
        <v/>
      </c>
      <c r="AI19" s="20">
        <f>IF(AJ19="","",N(AJ18)*(1+Start!$E$28/12)-AJ19)</f>
        <v/>
      </c>
      <c r="AJ19" s="20">
        <f>IF(OR(OR(Calc!$B$4=0,$B19&gt;IF(Start!$D$10="Avalanche",Calc!$B$3,Calc!$B$2)),Calc!$B$20=0),"",IF(N(AJ18)&lt;=0.005,"",IF(Start!$D$10="Avalanche",INDEX(Calc!AO$75:AO$89,Calc!$F$20),INDEX(Calc!AO$50:AO$64,Calc!$D$20))))</f>
        <v/>
      </c>
    </row>
    <row r="20">
      <c r="B20" s="17" t="n">
        <v>14</v>
      </c>
      <c r="C20" s="19">
        <f>IF(Calc!$B$4=0,"",EDATE(Start!$D$11,13))</f>
        <v/>
      </c>
      <c r="D20" s="20">
        <f>IF(OR(Calc!$B$4=0,$B20&gt;IF(Start!$D$10="Avalanche",Calc!$B$3,Calc!$B$2)),"",SUM(G20,I20,K20,M20,O20,Q20,S20,U20,W20,Y20,AA20,AC20,AE20,AG20,AI20))</f>
        <v/>
      </c>
      <c r="E20" s="20">
        <f>IF(OR(Calc!$B$4=0,$B20&gt;IF(Start!$D$10="Avalanche",Calc!$B$3,Calc!$B$2)),"",IF(Start!$D$10="Avalanche",Calc!AP$72,Calc!AP$47))</f>
        <v/>
      </c>
      <c r="F20" s="21">
        <f>IF(Calc!$B$4=0,"",IF($B20&gt;IF(Start!$D$10="Avalanche",Calc!$B$3,Calc!$B$2),NA(),SUM(H20,J20,L20,N20,P20,R20,T20,V20,X20,Z20,AB20,AD20,AF20,AH20,AJ20)))</f>
        <v/>
      </c>
      <c r="G20" s="20">
        <f>IF(H20="","",N(H19)*(1+Start!$E$14/12)-H20)</f>
        <v/>
      </c>
      <c r="H20" s="20">
        <f>IF(OR(OR(Calc!$B$4=0,$B20&gt;IF(Start!$D$10="Avalanche",Calc!$B$3,Calc!$B$2)),Calc!$B$6=0),"",IF(N(H19)&lt;=0.005,"",IF(Start!$D$10="Avalanche",INDEX(Calc!AR$75:AR$89,Calc!$F$6),INDEX(Calc!AR$50:AR$64,Calc!$D$6))))</f>
        <v/>
      </c>
      <c r="I20" s="20">
        <f>IF(J20="","",N(J19)*(1+Start!$E$15/12)-J20)</f>
        <v/>
      </c>
      <c r="J20" s="20">
        <f>IF(OR(OR(Calc!$B$4=0,$B20&gt;IF(Start!$D$10="Avalanche",Calc!$B$3,Calc!$B$2)),Calc!$B$7=0),"",IF(N(J19)&lt;=0.005,"",IF(Start!$D$10="Avalanche",INDEX(Calc!AR$75:AR$89,Calc!$F$7),INDEX(Calc!AR$50:AR$64,Calc!$D$7))))</f>
        <v/>
      </c>
      <c r="K20" s="20">
        <f>IF(L20="","",N(L19)*(1+Start!$E$16/12)-L20)</f>
        <v/>
      </c>
      <c r="L20" s="20">
        <f>IF(OR(OR(Calc!$B$4=0,$B20&gt;IF(Start!$D$10="Avalanche",Calc!$B$3,Calc!$B$2)),Calc!$B$8=0),"",IF(N(L19)&lt;=0.005,"",IF(Start!$D$10="Avalanche",INDEX(Calc!AR$75:AR$89,Calc!$F$8),INDEX(Calc!AR$50:AR$64,Calc!$D$8))))</f>
        <v/>
      </c>
      <c r="M20" s="20">
        <f>IF(N20="","",N(N19)*(1+Start!$E$17/12)-N20)</f>
        <v/>
      </c>
      <c r="N20" s="20">
        <f>IF(OR(OR(Calc!$B$4=0,$B20&gt;IF(Start!$D$10="Avalanche",Calc!$B$3,Calc!$B$2)),Calc!$B$9=0),"",IF(N(N19)&lt;=0.005,"",IF(Start!$D$10="Avalanche",INDEX(Calc!AR$75:AR$89,Calc!$F$9),INDEX(Calc!AR$50:AR$64,Calc!$D$9))))</f>
        <v/>
      </c>
      <c r="O20" s="20">
        <f>IF(P20="","",N(P19)*(1+Start!$E$18/12)-P20)</f>
        <v/>
      </c>
      <c r="P20" s="20">
        <f>IF(OR(OR(Calc!$B$4=0,$B20&gt;IF(Start!$D$10="Avalanche",Calc!$B$3,Calc!$B$2)),Calc!$B$10=0),"",IF(N(P19)&lt;=0.005,"",IF(Start!$D$10="Avalanche",INDEX(Calc!AR$75:AR$89,Calc!$F$10),INDEX(Calc!AR$50:AR$64,Calc!$D$10))))</f>
        <v/>
      </c>
      <c r="Q20" s="20">
        <f>IF(R20="","",N(R19)*(1+Start!$E$19/12)-R20)</f>
        <v/>
      </c>
      <c r="R20" s="20">
        <f>IF(OR(OR(Calc!$B$4=0,$B20&gt;IF(Start!$D$10="Avalanche",Calc!$B$3,Calc!$B$2)),Calc!$B$11=0),"",IF(N(R19)&lt;=0.005,"",IF(Start!$D$10="Avalanche",INDEX(Calc!AR$75:AR$89,Calc!$F$11),INDEX(Calc!AR$50:AR$64,Calc!$D$11))))</f>
        <v/>
      </c>
      <c r="S20" s="20">
        <f>IF(T20="","",N(T19)*(1+Start!$E$20/12)-T20)</f>
        <v/>
      </c>
      <c r="T20" s="20">
        <f>IF(OR(OR(Calc!$B$4=0,$B20&gt;IF(Start!$D$10="Avalanche",Calc!$B$3,Calc!$B$2)),Calc!$B$12=0),"",IF(N(T19)&lt;=0.005,"",IF(Start!$D$10="Avalanche",INDEX(Calc!AR$75:AR$89,Calc!$F$12),INDEX(Calc!AR$50:AR$64,Calc!$D$12))))</f>
        <v/>
      </c>
      <c r="U20" s="20">
        <f>IF(V20="","",N(V19)*(1+Start!$E$21/12)-V20)</f>
        <v/>
      </c>
      <c r="V20" s="20">
        <f>IF(OR(OR(Calc!$B$4=0,$B20&gt;IF(Start!$D$10="Avalanche",Calc!$B$3,Calc!$B$2)),Calc!$B$13=0),"",IF(N(V19)&lt;=0.005,"",IF(Start!$D$10="Avalanche",INDEX(Calc!AR$75:AR$89,Calc!$F$13),INDEX(Calc!AR$50:AR$64,Calc!$D$13))))</f>
        <v/>
      </c>
      <c r="W20" s="20">
        <f>IF(X20="","",N(X19)*(1+Start!$E$22/12)-X20)</f>
        <v/>
      </c>
      <c r="X20" s="20">
        <f>IF(OR(OR(Calc!$B$4=0,$B20&gt;IF(Start!$D$10="Avalanche",Calc!$B$3,Calc!$B$2)),Calc!$B$14=0),"",IF(N(X19)&lt;=0.005,"",IF(Start!$D$10="Avalanche",INDEX(Calc!AR$75:AR$89,Calc!$F$14),INDEX(Calc!AR$50:AR$64,Calc!$D$14))))</f>
        <v/>
      </c>
      <c r="Y20" s="20">
        <f>IF(Z20="","",N(Z19)*(1+Start!$E$23/12)-Z20)</f>
        <v/>
      </c>
      <c r="Z20" s="20">
        <f>IF(OR(OR(Calc!$B$4=0,$B20&gt;IF(Start!$D$10="Avalanche",Calc!$B$3,Calc!$B$2)),Calc!$B$15=0),"",IF(N(Z19)&lt;=0.005,"",IF(Start!$D$10="Avalanche",INDEX(Calc!AR$75:AR$89,Calc!$F$15),INDEX(Calc!AR$50:AR$64,Calc!$D$15))))</f>
        <v/>
      </c>
      <c r="AA20" s="20">
        <f>IF(AB20="","",N(AB19)*(1+Start!$E$24/12)-AB20)</f>
        <v/>
      </c>
      <c r="AB20" s="20">
        <f>IF(OR(OR(Calc!$B$4=0,$B20&gt;IF(Start!$D$10="Avalanche",Calc!$B$3,Calc!$B$2)),Calc!$B$16=0),"",IF(N(AB19)&lt;=0.005,"",IF(Start!$D$10="Avalanche",INDEX(Calc!AR$75:AR$89,Calc!$F$16),INDEX(Calc!AR$50:AR$64,Calc!$D$16))))</f>
        <v/>
      </c>
      <c r="AC20" s="20">
        <f>IF(AD20="","",N(AD19)*(1+Start!$E$25/12)-AD20)</f>
        <v/>
      </c>
      <c r="AD20" s="20">
        <f>IF(OR(OR(Calc!$B$4=0,$B20&gt;IF(Start!$D$10="Avalanche",Calc!$B$3,Calc!$B$2)),Calc!$B$17=0),"",IF(N(AD19)&lt;=0.005,"",IF(Start!$D$10="Avalanche",INDEX(Calc!AR$75:AR$89,Calc!$F$17),INDEX(Calc!AR$50:AR$64,Calc!$D$17))))</f>
        <v/>
      </c>
      <c r="AE20" s="20">
        <f>IF(AF20="","",N(AF19)*(1+Start!$E$26/12)-AF20)</f>
        <v/>
      </c>
      <c r="AF20" s="20">
        <f>IF(OR(OR(Calc!$B$4=0,$B20&gt;IF(Start!$D$10="Avalanche",Calc!$B$3,Calc!$B$2)),Calc!$B$18=0),"",IF(N(AF19)&lt;=0.005,"",IF(Start!$D$10="Avalanche",INDEX(Calc!AR$75:AR$89,Calc!$F$18),INDEX(Calc!AR$50:AR$64,Calc!$D$18))))</f>
        <v/>
      </c>
      <c r="AG20" s="20">
        <f>IF(AH20="","",N(AH19)*(1+Start!$E$27/12)-AH20)</f>
        <v/>
      </c>
      <c r="AH20" s="20">
        <f>IF(OR(OR(Calc!$B$4=0,$B20&gt;IF(Start!$D$10="Avalanche",Calc!$B$3,Calc!$B$2)),Calc!$B$19=0),"",IF(N(AH19)&lt;=0.005,"",IF(Start!$D$10="Avalanche",INDEX(Calc!AR$75:AR$89,Calc!$F$19),INDEX(Calc!AR$50:AR$64,Calc!$D$19))))</f>
        <v/>
      </c>
      <c r="AI20" s="20">
        <f>IF(AJ20="","",N(AJ19)*(1+Start!$E$28/12)-AJ20)</f>
        <v/>
      </c>
      <c r="AJ20" s="20">
        <f>IF(OR(OR(Calc!$B$4=0,$B20&gt;IF(Start!$D$10="Avalanche",Calc!$B$3,Calc!$B$2)),Calc!$B$20=0),"",IF(N(AJ19)&lt;=0.005,"",IF(Start!$D$10="Avalanche",INDEX(Calc!AR$75:AR$89,Calc!$F$20),INDEX(Calc!AR$50:AR$64,Calc!$D$20))))</f>
        <v/>
      </c>
    </row>
    <row r="21">
      <c r="B21" s="17" t="n">
        <v>15</v>
      </c>
      <c r="C21" s="19">
        <f>IF(Calc!$B$4=0,"",EDATE(Start!$D$11,14))</f>
        <v/>
      </c>
      <c r="D21" s="20">
        <f>IF(OR(Calc!$B$4=0,$B21&gt;IF(Start!$D$10="Avalanche",Calc!$B$3,Calc!$B$2)),"",SUM(G21,I21,K21,M21,O21,Q21,S21,U21,W21,Y21,AA21,AC21,AE21,AG21,AI21))</f>
        <v/>
      </c>
      <c r="E21" s="20">
        <f>IF(OR(Calc!$B$4=0,$B21&gt;IF(Start!$D$10="Avalanche",Calc!$B$3,Calc!$B$2)),"",IF(Start!$D$10="Avalanche",Calc!AS$72,Calc!AS$47))</f>
        <v/>
      </c>
      <c r="F21" s="21">
        <f>IF(Calc!$B$4=0,"",IF($B21&gt;IF(Start!$D$10="Avalanche",Calc!$B$3,Calc!$B$2),NA(),SUM(H21,J21,L21,N21,P21,R21,T21,V21,X21,Z21,AB21,AD21,AF21,AH21,AJ21)))</f>
        <v/>
      </c>
      <c r="G21" s="20">
        <f>IF(H21="","",N(H20)*(1+Start!$E$14/12)-H21)</f>
        <v/>
      </c>
      <c r="H21" s="20">
        <f>IF(OR(OR(Calc!$B$4=0,$B21&gt;IF(Start!$D$10="Avalanche",Calc!$B$3,Calc!$B$2)),Calc!$B$6=0),"",IF(N(H20)&lt;=0.005,"",IF(Start!$D$10="Avalanche",INDEX(Calc!AU$75:AU$89,Calc!$F$6),INDEX(Calc!AU$50:AU$64,Calc!$D$6))))</f>
        <v/>
      </c>
      <c r="I21" s="20">
        <f>IF(J21="","",N(J20)*(1+Start!$E$15/12)-J21)</f>
        <v/>
      </c>
      <c r="J21" s="20">
        <f>IF(OR(OR(Calc!$B$4=0,$B21&gt;IF(Start!$D$10="Avalanche",Calc!$B$3,Calc!$B$2)),Calc!$B$7=0),"",IF(N(J20)&lt;=0.005,"",IF(Start!$D$10="Avalanche",INDEX(Calc!AU$75:AU$89,Calc!$F$7),INDEX(Calc!AU$50:AU$64,Calc!$D$7))))</f>
        <v/>
      </c>
      <c r="K21" s="20">
        <f>IF(L21="","",N(L20)*(1+Start!$E$16/12)-L21)</f>
        <v/>
      </c>
      <c r="L21" s="20">
        <f>IF(OR(OR(Calc!$B$4=0,$B21&gt;IF(Start!$D$10="Avalanche",Calc!$B$3,Calc!$B$2)),Calc!$B$8=0),"",IF(N(L20)&lt;=0.005,"",IF(Start!$D$10="Avalanche",INDEX(Calc!AU$75:AU$89,Calc!$F$8),INDEX(Calc!AU$50:AU$64,Calc!$D$8))))</f>
        <v/>
      </c>
      <c r="M21" s="20">
        <f>IF(N21="","",N(N20)*(1+Start!$E$17/12)-N21)</f>
        <v/>
      </c>
      <c r="N21" s="20">
        <f>IF(OR(OR(Calc!$B$4=0,$B21&gt;IF(Start!$D$10="Avalanche",Calc!$B$3,Calc!$B$2)),Calc!$B$9=0),"",IF(N(N20)&lt;=0.005,"",IF(Start!$D$10="Avalanche",INDEX(Calc!AU$75:AU$89,Calc!$F$9),INDEX(Calc!AU$50:AU$64,Calc!$D$9))))</f>
        <v/>
      </c>
      <c r="O21" s="20">
        <f>IF(P21="","",N(P20)*(1+Start!$E$18/12)-P21)</f>
        <v/>
      </c>
      <c r="P21" s="20">
        <f>IF(OR(OR(Calc!$B$4=0,$B21&gt;IF(Start!$D$10="Avalanche",Calc!$B$3,Calc!$B$2)),Calc!$B$10=0),"",IF(N(P20)&lt;=0.005,"",IF(Start!$D$10="Avalanche",INDEX(Calc!AU$75:AU$89,Calc!$F$10),INDEX(Calc!AU$50:AU$64,Calc!$D$10))))</f>
        <v/>
      </c>
      <c r="Q21" s="20">
        <f>IF(R21="","",N(R20)*(1+Start!$E$19/12)-R21)</f>
        <v/>
      </c>
      <c r="R21" s="20">
        <f>IF(OR(OR(Calc!$B$4=0,$B21&gt;IF(Start!$D$10="Avalanche",Calc!$B$3,Calc!$B$2)),Calc!$B$11=0),"",IF(N(R20)&lt;=0.005,"",IF(Start!$D$10="Avalanche",INDEX(Calc!AU$75:AU$89,Calc!$F$11),INDEX(Calc!AU$50:AU$64,Calc!$D$11))))</f>
        <v/>
      </c>
      <c r="S21" s="20">
        <f>IF(T21="","",N(T20)*(1+Start!$E$20/12)-T21)</f>
        <v/>
      </c>
      <c r="T21" s="20">
        <f>IF(OR(OR(Calc!$B$4=0,$B21&gt;IF(Start!$D$10="Avalanche",Calc!$B$3,Calc!$B$2)),Calc!$B$12=0),"",IF(N(T20)&lt;=0.005,"",IF(Start!$D$10="Avalanche",INDEX(Calc!AU$75:AU$89,Calc!$F$12),INDEX(Calc!AU$50:AU$64,Calc!$D$12))))</f>
        <v/>
      </c>
      <c r="U21" s="20">
        <f>IF(V21="","",N(V20)*(1+Start!$E$21/12)-V21)</f>
        <v/>
      </c>
      <c r="V21" s="20">
        <f>IF(OR(OR(Calc!$B$4=0,$B21&gt;IF(Start!$D$10="Avalanche",Calc!$B$3,Calc!$B$2)),Calc!$B$13=0),"",IF(N(V20)&lt;=0.005,"",IF(Start!$D$10="Avalanche",INDEX(Calc!AU$75:AU$89,Calc!$F$13),INDEX(Calc!AU$50:AU$64,Calc!$D$13))))</f>
        <v/>
      </c>
      <c r="W21" s="20">
        <f>IF(X21="","",N(X20)*(1+Start!$E$22/12)-X21)</f>
        <v/>
      </c>
      <c r="X21" s="20">
        <f>IF(OR(OR(Calc!$B$4=0,$B21&gt;IF(Start!$D$10="Avalanche",Calc!$B$3,Calc!$B$2)),Calc!$B$14=0),"",IF(N(X20)&lt;=0.005,"",IF(Start!$D$10="Avalanche",INDEX(Calc!AU$75:AU$89,Calc!$F$14),INDEX(Calc!AU$50:AU$64,Calc!$D$14))))</f>
        <v/>
      </c>
      <c r="Y21" s="20">
        <f>IF(Z21="","",N(Z20)*(1+Start!$E$23/12)-Z21)</f>
        <v/>
      </c>
      <c r="Z21" s="20">
        <f>IF(OR(OR(Calc!$B$4=0,$B21&gt;IF(Start!$D$10="Avalanche",Calc!$B$3,Calc!$B$2)),Calc!$B$15=0),"",IF(N(Z20)&lt;=0.005,"",IF(Start!$D$10="Avalanche",INDEX(Calc!AU$75:AU$89,Calc!$F$15),INDEX(Calc!AU$50:AU$64,Calc!$D$15))))</f>
        <v/>
      </c>
      <c r="AA21" s="20">
        <f>IF(AB21="","",N(AB20)*(1+Start!$E$24/12)-AB21)</f>
        <v/>
      </c>
      <c r="AB21" s="20">
        <f>IF(OR(OR(Calc!$B$4=0,$B21&gt;IF(Start!$D$10="Avalanche",Calc!$B$3,Calc!$B$2)),Calc!$B$16=0),"",IF(N(AB20)&lt;=0.005,"",IF(Start!$D$10="Avalanche",INDEX(Calc!AU$75:AU$89,Calc!$F$16),INDEX(Calc!AU$50:AU$64,Calc!$D$16))))</f>
        <v/>
      </c>
      <c r="AC21" s="20">
        <f>IF(AD21="","",N(AD20)*(1+Start!$E$25/12)-AD21)</f>
        <v/>
      </c>
      <c r="AD21" s="20">
        <f>IF(OR(OR(Calc!$B$4=0,$B21&gt;IF(Start!$D$10="Avalanche",Calc!$B$3,Calc!$B$2)),Calc!$B$17=0),"",IF(N(AD20)&lt;=0.005,"",IF(Start!$D$10="Avalanche",INDEX(Calc!AU$75:AU$89,Calc!$F$17),INDEX(Calc!AU$50:AU$64,Calc!$D$17))))</f>
        <v/>
      </c>
      <c r="AE21" s="20">
        <f>IF(AF21="","",N(AF20)*(1+Start!$E$26/12)-AF21)</f>
        <v/>
      </c>
      <c r="AF21" s="20">
        <f>IF(OR(OR(Calc!$B$4=0,$B21&gt;IF(Start!$D$10="Avalanche",Calc!$B$3,Calc!$B$2)),Calc!$B$18=0),"",IF(N(AF20)&lt;=0.005,"",IF(Start!$D$10="Avalanche",INDEX(Calc!AU$75:AU$89,Calc!$F$18),INDEX(Calc!AU$50:AU$64,Calc!$D$18))))</f>
        <v/>
      </c>
      <c r="AG21" s="20">
        <f>IF(AH21="","",N(AH20)*(1+Start!$E$27/12)-AH21)</f>
        <v/>
      </c>
      <c r="AH21" s="20">
        <f>IF(OR(OR(Calc!$B$4=0,$B21&gt;IF(Start!$D$10="Avalanche",Calc!$B$3,Calc!$B$2)),Calc!$B$19=0),"",IF(N(AH20)&lt;=0.005,"",IF(Start!$D$10="Avalanche",INDEX(Calc!AU$75:AU$89,Calc!$F$19),INDEX(Calc!AU$50:AU$64,Calc!$D$19))))</f>
        <v/>
      </c>
      <c r="AI21" s="20">
        <f>IF(AJ21="","",N(AJ20)*(1+Start!$E$28/12)-AJ21)</f>
        <v/>
      </c>
      <c r="AJ21" s="20">
        <f>IF(OR(OR(Calc!$B$4=0,$B21&gt;IF(Start!$D$10="Avalanche",Calc!$B$3,Calc!$B$2)),Calc!$B$20=0),"",IF(N(AJ20)&lt;=0.005,"",IF(Start!$D$10="Avalanche",INDEX(Calc!AU$75:AU$89,Calc!$F$20),INDEX(Calc!AU$50:AU$64,Calc!$D$20))))</f>
        <v/>
      </c>
    </row>
    <row r="22">
      <c r="B22" s="17" t="n">
        <v>16</v>
      </c>
      <c r="C22" s="19">
        <f>IF(Calc!$B$4=0,"",EDATE(Start!$D$11,15))</f>
        <v/>
      </c>
      <c r="D22" s="20">
        <f>IF(OR(Calc!$B$4=0,$B22&gt;IF(Start!$D$10="Avalanche",Calc!$B$3,Calc!$B$2)),"",SUM(G22,I22,K22,M22,O22,Q22,S22,U22,W22,Y22,AA22,AC22,AE22,AG22,AI22))</f>
        <v/>
      </c>
      <c r="E22" s="20">
        <f>IF(OR(Calc!$B$4=0,$B22&gt;IF(Start!$D$10="Avalanche",Calc!$B$3,Calc!$B$2)),"",IF(Start!$D$10="Avalanche",Calc!AV$72,Calc!AV$47))</f>
        <v/>
      </c>
      <c r="F22" s="21">
        <f>IF(Calc!$B$4=0,"",IF($B22&gt;IF(Start!$D$10="Avalanche",Calc!$B$3,Calc!$B$2),NA(),SUM(H22,J22,L22,N22,P22,R22,T22,V22,X22,Z22,AB22,AD22,AF22,AH22,AJ22)))</f>
        <v/>
      </c>
      <c r="G22" s="20">
        <f>IF(H22="","",N(H21)*(1+Start!$E$14/12)-H22)</f>
        <v/>
      </c>
      <c r="H22" s="20">
        <f>IF(OR(OR(Calc!$B$4=0,$B22&gt;IF(Start!$D$10="Avalanche",Calc!$B$3,Calc!$B$2)),Calc!$B$6=0),"",IF(N(H21)&lt;=0.005,"",IF(Start!$D$10="Avalanche",INDEX(Calc!AX$75:AX$89,Calc!$F$6),INDEX(Calc!AX$50:AX$64,Calc!$D$6))))</f>
        <v/>
      </c>
      <c r="I22" s="20">
        <f>IF(J22="","",N(J21)*(1+Start!$E$15/12)-J22)</f>
        <v/>
      </c>
      <c r="J22" s="20">
        <f>IF(OR(OR(Calc!$B$4=0,$B22&gt;IF(Start!$D$10="Avalanche",Calc!$B$3,Calc!$B$2)),Calc!$B$7=0),"",IF(N(J21)&lt;=0.005,"",IF(Start!$D$10="Avalanche",INDEX(Calc!AX$75:AX$89,Calc!$F$7),INDEX(Calc!AX$50:AX$64,Calc!$D$7))))</f>
        <v/>
      </c>
      <c r="K22" s="20">
        <f>IF(L22="","",N(L21)*(1+Start!$E$16/12)-L22)</f>
        <v/>
      </c>
      <c r="L22" s="20">
        <f>IF(OR(OR(Calc!$B$4=0,$B22&gt;IF(Start!$D$10="Avalanche",Calc!$B$3,Calc!$B$2)),Calc!$B$8=0),"",IF(N(L21)&lt;=0.005,"",IF(Start!$D$10="Avalanche",INDEX(Calc!AX$75:AX$89,Calc!$F$8),INDEX(Calc!AX$50:AX$64,Calc!$D$8))))</f>
        <v/>
      </c>
      <c r="M22" s="20">
        <f>IF(N22="","",N(N21)*(1+Start!$E$17/12)-N22)</f>
        <v/>
      </c>
      <c r="N22" s="20">
        <f>IF(OR(OR(Calc!$B$4=0,$B22&gt;IF(Start!$D$10="Avalanche",Calc!$B$3,Calc!$B$2)),Calc!$B$9=0),"",IF(N(N21)&lt;=0.005,"",IF(Start!$D$10="Avalanche",INDEX(Calc!AX$75:AX$89,Calc!$F$9),INDEX(Calc!AX$50:AX$64,Calc!$D$9))))</f>
        <v/>
      </c>
      <c r="O22" s="20">
        <f>IF(P22="","",N(P21)*(1+Start!$E$18/12)-P22)</f>
        <v/>
      </c>
      <c r="P22" s="20">
        <f>IF(OR(OR(Calc!$B$4=0,$B22&gt;IF(Start!$D$10="Avalanche",Calc!$B$3,Calc!$B$2)),Calc!$B$10=0),"",IF(N(P21)&lt;=0.005,"",IF(Start!$D$10="Avalanche",INDEX(Calc!AX$75:AX$89,Calc!$F$10),INDEX(Calc!AX$50:AX$64,Calc!$D$10))))</f>
        <v/>
      </c>
      <c r="Q22" s="20">
        <f>IF(R22="","",N(R21)*(1+Start!$E$19/12)-R22)</f>
        <v/>
      </c>
      <c r="R22" s="20">
        <f>IF(OR(OR(Calc!$B$4=0,$B22&gt;IF(Start!$D$10="Avalanche",Calc!$B$3,Calc!$B$2)),Calc!$B$11=0),"",IF(N(R21)&lt;=0.005,"",IF(Start!$D$10="Avalanche",INDEX(Calc!AX$75:AX$89,Calc!$F$11),INDEX(Calc!AX$50:AX$64,Calc!$D$11))))</f>
        <v/>
      </c>
      <c r="S22" s="20">
        <f>IF(T22="","",N(T21)*(1+Start!$E$20/12)-T22)</f>
        <v/>
      </c>
      <c r="T22" s="20">
        <f>IF(OR(OR(Calc!$B$4=0,$B22&gt;IF(Start!$D$10="Avalanche",Calc!$B$3,Calc!$B$2)),Calc!$B$12=0),"",IF(N(T21)&lt;=0.005,"",IF(Start!$D$10="Avalanche",INDEX(Calc!AX$75:AX$89,Calc!$F$12),INDEX(Calc!AX$50:AX$64,Calc!$D$12))))</f>
        <v/>
      </c>
      <c r="U22" s="20">
        <f>IF(V22="","",N(V21)*(1+Start!$E$21/12)-V22)</f>
        <v/>
      </c>
      <c r="V22" s="20">
        <f>IF(OR(OR(Calc!$B$4=0,$B22&gt;IF(Start!$D$10="Avalanche",Calc!$B$3,Calc!$B$2)),Calc!$B$13=0),"",IF(N(V21)&lt;=0.005,"",IF(Start!$D$10="Avalanche",INDEX(Calc!AX$75:AX$89,Calc!$F$13),INDEX(Calc!AX$50:AX$64,Calc!$D$13))))</f>
        <v/>
      </c>
      <c r="W22" s="20">
        <f>IF(X22="","",N(X21)*(1+Start!$E$22/12)-X22)</f>
        <v/>
      </c>
      <c r="X22" s="20">
        <f>IF(OR(OR(Calc!$B$4=0,$B22&gt;IF(Start!$D$10="Avalanche",Calc!$B$3,Calc!$B$2)),Calc!$B$14=0),"",IF(N(X21)&lt;=0.005,"",IF(Start!$D$10="Avalanche",INDEX(Calc!AX$75:AX$89,Calc!$F$14),INDEX(Calc!AX$50:AX$64,Calc!$D$14))))</f>
        <v/>
      </c>
      <c r="Y22" s="20">
        <f>IF(Z22="","",N(Z21)*(1+Start!$E$23/12)-Z22)</f>
        <v/>
      </c>
      <c r="Z22" s="20">
        <f>IF(OR(OR(Calc!$B$4=0,$B22&gt;IF(Start!$D$10="Avalanche",Calc!$B$3,Calc!$B$2)),Calc!$B$15=0),"",IF(N(Z21)&lt;=0.005,"",IF(Start!$D$10="Avalanche",INDEX(Calc!AX$75:AX$89,Calc!$F$15),INDEX(Calc!AX$50:AX$64,Calc!$D$15))))</f>
        <v/>
      </c>
      <c r="AA22" s="20">
        <f>IF(AB22="","",N(AB21)*(1+Start!$E$24/12)-AB22)</f>
        <v/>
      </c>
      <c r="AB22" s="20">
        <f>IF(OR(OR(Calc!$B$4=0,$B22&gt;IF(Start!$D$10="Avalanche",Calc!$B$3,Calc!$B$2)),Calc!$B$16=0),"",IF(N(AB21)&lt;=0.005,"",IF(Start!$D$10="Avalanche",INDEX(Calc!AX$75:AX$89,Calc!$F$16),INDEX(Calc!AX$50:AX$64,Calc!$D$16))))</f>
        <v/>
      </c>
      <c r="AC22" s="20">
        <f>IF(AD22="","",N(AD21)*(1+Start!$E$25/12)-AD22)</f>
        <v/>
      </c>
      <c r="AD22" s="20">
        <f>IF(OR(OR(Calc!$B$4=0,$B22&gt;IF(Start!$D$10="Avalanche",Calc!$B$3,Calc!$B$2)),Calc!$B$17=0),"",IF(N(AD21)&lt;=0.005,"",IF(Start!$D$10="Avalanche",INDEX(Calc!AX$75:AX$89,Calc!$F$17),INDEX(Calc!AX$50:AX$64,Calc!$D$17))))</f>
        <v/>
      </c>
      <c r="AE22" s="20">
        <f>IF(AF22="","",N(AF21)*(1+Start!$E$26/12)-AF22)</f>
        <v/>
      </c>
      <c r="AF22" s="20">
        <f>IF(OR(OR(Calc!$B$4=0,$B22&gt;IF(Start!$D$10="Avalanche",Calc!$B$3,Calc!$B$2)),Calc!$B$18=0),"",IF(N(AF21)&lt;=0.005,"",IF(Start!$D$10="Avalanche",INDEX(Calc!AX$75:AX$89,Calc!$F$18),INDEX(Calc!AX$50:AX$64,Calc!$D$18))))</f>
        <v/>
      </c>
      <c r="AG22" s="20">
        <f>IF(AH22="","",N(AH21)*(1+Start!$E$27/12)-AH22)</f>
        <v/>
      </c>
      <c r="AH22" s="20">
        <f>IF(OR(OR(Calc!$B$4=0,$B22&gt;IF(Start!$D$10="Avalanche",Calc!$B$3,Calc!$B$2)),Calc!$B$19=0),"",IF(N(AH21)&lt;=0.005,"",IF(Start!$D$10="Avalanche",INDEX(Calc!AX$75:AX$89,Calc!$F$19),INDEX(Calc!AX$50:AX$64,Calc!$D$19))))</f>
        <v/>
      </c>
      <c r="AI22" s="20">
        <f>IF(AJ22="","",N(AJ21)*(1+Start!$E$28/12)-AJ22)</f>
        <v/>
      </c>
      <c r="AJ22" s="20">
        <f>IF(OR(OR(Calc!$B$4=0,$B22&gt;IF(Start!$D$10="Avalanche",Calc!$B$3,Calc!$B$2)),Calc!$B$20=0),"",IF(N(AJ21)&lt;=0.005,"",IF(Start!$D$10="Avalanche",INDEX(Calc!AX$75:AX$89,Calc!$F$20),INDEX(Calc!AX$50:AX$64,Calc!$D$20))))</f>
        <v/>
      </c>
    </row>
    <row r="23">
      <c r="B23" s="17" t="n">
        <v>17</v>
      </c>
      <c r="C23" s="19">
        <f>IF(Calc!$B$4=0,"",EDATE(Start!$D$11,16))</f>
        <v/>
      </c>
      <c r="D23" s="20">
        <f>IF(OR(Calc!$B$4=0,$B23&gt;IF(Start!$D$10="Avalanche",Calc!$B$3,Calc!$B$2)),"",SUM(G23,I23,K23,M23,O23,Q23,S23,U23,W23,Y23,AA23,AC23,AE23,AG23,AI23))</f>
        <v/>
      </c>
      <c r="E23" s="20">
        <f>IF(OR(Calc!$B$4=0,$B23&gt;IF(Start!$D$10="Avalanche",Calc!$B$3,Calc!$B$2)),"",IF(Start!$D$10="Avalanche",Calc!AY$72,Calc!AY$47))</f>
        <v/>
      </c>
      <c r="F23" s="21">
        <f>IF(Calc!$B$4=0,"",IF($B23&gt;IF(Start!$D$10="Avalanche",Calc!$B$3,Calc!$B$2),NA(),SUM(H23,J23,L23,N23,P23,R23,T23,V23,X23,Z23,AB23,AD23,AF23,AH23,AJ23)))</f>
        <v/>
      </c>
      <c r="G23" s="20">
        <f>IF(H23="","",N(H22)*(1+Start!$E$14/12)-H23)</f>
        <v/>
      </c>
      <c r="H23" s="20">
        <f>IF(OR(OR(Calc!$B$4=0,$B23&gt;IF(Start!$D$10="Avalanche",Calc!$B$3,Calc!$B$2)),Calc!$B$6=0),"",IF(N(H22)&lt;=0.005,"",IF(Start!$D$10="Avalanche",INDEX(Calc!BA$75:BA$89,Calc!$F$6),INDEX(Calc!BA$50:BA$64,Calc!$D$6))))</f>
        <v/>
      </c>
      <c r="I23" s="20">
        <f>IF(J23="","",N(J22)*(1+Start!$E$15/12)-J23)</f>
        <v/>
      </c>
      <c r="J23" s="20">
        <f>IF(OR(OR(Calc!$B$4=0,$B23&gt;IF(Start!$D$10="Avalanche",Calc!$B$3,Calc!$B$2)),Calc!$B$7=0),"",IF(N(J22)&lt;=0.005,"",IF(Start!$D$10="Avalanche",INDEX(Calc!BA$75:BA$89,Calc!$F$7),INDEX(Calc!BA$50:BA$64,Calc!$D$7))))</f>
        <v/>
      </c>
      <c r="K23" s="20">
        <f>IF(L23="","",N(L22)*(1+Start!$E$16/12)-L23)</f>
        <v/>
      </c>
      <c r="L23" s="20">
        <f>IF(OR(OR(Calc!$B$4=0,$B23&gt;IF(Start!$D$10="Avalanche",Calc!$B$3,Calc!$B$2)),Calc!$B$8=0),"",IF(N(L22)&lt;=0.005,"",IF(Start!$D$10="Avalanche",INDEX(Calc!BA$75:BA$89,Calc!$F$8),INDEX(Calc!BA$50:BA$64,Calc!$D$8))))</f>
        <v/>
      </c>
      <c r="M23" s="20">
        <f>IF(N23="","",N(N22)*(1+Start!$E$17/12)-N23)</f>
        <v/>
      </c>
      <c r="N23" s="20">
        <f>IF(OR(OR(Calc!$B$4=0,$B23&gt;IF(Start!$D$10="Avalanche",Calc!$B$3,Calc!$B$2)),Calc!$B$9=0),"",IF(N(N22)&lt;=0.005,"",IF(Start!$D$10="Avalanche",INDEX(Calc!BA$75:BA$89,Calc!$F$9),INDEX(Calc!BA$50:BA$64,Calc!$D$9))))</f>
        <v/>
      </c>
      <c r="O23" s="20">
        <f>IF(P23="","",N(P22)*(1+Start!$E$18/12)-P23)</f>
        <v/>
      </c>
      <c r="P23" s="20">
        <f>IF(OR(OR(Calc!$B$4=0,$B23&gt;IF(Start!$D$10="Avalanche",Calc!$B$3,Calc!$B$2)),Calc!$B$10=0),"",IF(N(P22)&lt;=0.005,"",IF(Start!$D$10="Avalanche",INDEX(Calc!BA$75:BA$89,Calc!$F$10),INDEX(Calc!BA$50:BA$64,Calc!$D$10))))</f>
        <v/>
      </c>
      <c r="Q23" s="20">
        <f>IF(R23="","",N(R22)*(1+Start!$E$19/12)-R23)</f>
        <v/>
      </c>
      <c r="R23" s="20">
        <f>IF(OR(OR(Calc!$B$4=0,$B23&gt;IF(Start!$D$10="Avalanche",Calc!$B$3,Calc!$B$2)),Calc!$B$11=0),"",IF(N(R22)&lt;=0.005,"",IF(Start!$D$10="Avalanche",INDEX(Calc!BA$75:BA$89,Calc!$F$11),INDEX(Calc!BA$50:BA$64,Calc!$D$11))))</f>
        <v/>
      </c>
      <c r="S23" s="20">
        <f>IF(T23="","",N(T22)*(1+Start!$E$20/12)-T23)</f>
        <v/>
      </c>
      <c r="T23" s="20">
        <f>IF(OR(OR(Calc!$B$4=0,$B23&gt;IF(Start!$D$10="Avalanche",Calc!$B$3,Calc!$B$2)),Calc!$B$12=0),"",IF(N(T22)&lt;=0.005,"",IF(Start!$D$10="Avalanche",INDEX(Calc!BA$75:BA$89,Calc!$F$12),INDEX(Calc!BA$50:BA$64,Calc!$D$12))))</f>
        <v/>
      </c>
      <c r="U23" s="20">
        <f>IF(V23="","",N(V22)*(1+Start!$E$21/12)-V23)</f>
        <v/>
      </c>
      <c r="V23" s="20">
        <f>IF(OR(OR(Calc!$B$4=0,$B23&gt;IF(Start!$D$10="Avalanche",Calc!$B$3,Calc!$B$2)),Calc!$B$13=0),"",IF(N(V22)&lt;=0.005,"",IF(Start!$D$10="Avalanche",INDEX(Calc!BA$75:BA$89,Calc!$F$13),INDEX(Calc!BA$50:BA$64,Calc!$D$13))))</f>
        <v/>
      </c>
      <c r="W23" s="20">
        <f>IF(X23="","",N(X22)*(1+Start!$E$22/12)-X23)</f>
        <v/>
      </c>
      <c r="X23" s="20">
        <f>IF(OR(OR(Calc!$B$4=0,$B23&gt;IF(Start!$D$10="Avalanche",Calc!$B$3,Calc!$B$2)),Calc!$B$14=0),"",IF(N(X22)&lt;=0.005,"",IF(Start!$D$10="Avalanche",INDEX(Calc!BA$75:BA$89,Calc!$F$14),INDEX(Calc!BA$50:BA$64,Calc!$D$14))))</f>
        <v/>
      </c>
      <c r="Y23" s="20">
        <f>IF(Z23="","",N(Z22)*(1+Start!$E$23/12)-Z23)</f>
        <v/>
      </c>
      <c r="Z23" s="20">
        <f>IF(OR(OR(Calc!$B$4=0,$B23&gt;IF(Start!$D$10="Avalanche",Calc!$B$3,Calc!$B$2)),Calc!$B$15=0),"",IF(N(Z22)&lt;=0.005,"",IF(Start!$D$10="Avalanche",INDEX(Calc!BA$75:BA$89,Calc!$F$15),INDEX(Calc!BA$50:BA$64,Calc!$D$15))))</f>
        <v/>
      </c>
      <c r="AA23" s="20">
        <f>IF(AB23="","",N(AB22)*(1+Start!$E$24/12)-AB23)</f>
        <v/>
      </c>
      <c r="AB23" s="20">
        <f>IF(OR(OR(Calc!$B$4=0,$B23&gt;IF(Start!$D$10="Avalanche",Calc!$B$3,Calc!$B$2)),Calc!$B$16=0),"",IF(N(AB22)&lt;=0.005,"",IF(Start!$D$10="Avalanche",INDEX(Calc!BA$75:BA$89,Calc!$F$16),INDEX(Calc!BA$50:BA$64,Calc!$D$16))))</f>
        <v/>
      </c>
      <c r="AC23" s="20">
        <f>IF(AD23="","",N(AD22)*(1+Start!$E$25/12)-AD23)</f>
        <v/>
      </c>
      <c r="AD23" s="20">
        <f>IF(OR(OR(Calc!$B$4=0,$B23&gt;IF(Start!$D$10="Avalanche",Calc!$B$3,Calc!$B$2)),Calc!$B$17=0),"",IF(N(AD22)&lt;=0.005,"",IF(Start!$D$10="Avalanche",INDEX(Calc!BA$75:BA$89,Calc!$F$17),INDEX(Calc!BA$50:BA$64,Calc!$D$17))))</f>
        <v/>
      </c>
      <c r="AE23" s="20">
        <f>IF(AF23="","",N(AF22)*(1+Start!$E$26/12)-AF23)</f>
        <v/>
      </c>
      <c r="AF23" s="20">
        <f>IF(OR(OR(Calc!$B$4=0,$B23&gt;IF(Start!$D$10="Avalanche",Calc!$B$3,Calc!$B$2)),Calc!$B$18=0),"",IF(N(AF22)&lt;=0.005,"",IF(Start!$D$10="Avalanche",INDEX(Calc!BA$75:BA$89,Calc!$F$18),INDEX(Calc!BA$50:BA$64,Calc!$D$18))))</f>
        <v/>
      </c>
      <c r="AG23" s="20">
        <f>IF(AH23="","",N(AH22)*(1+Start!$E$27/12)-AH23)</f>
        <v/>
      </c>
      <c r="AH23" s="20">
        <f>IF(OR(OR(Calc!$B$4=0,$B23&gt;IF(Start!$D$10="Avalanche",Calc!$B$3,Calc!$B$2)),Calc!$B$19=0),"",IF(N(AH22)&lt;=0.005,"",IF(Start!$D$10="Avalanche",INDEX(Calc!BA$75:BA$89,Calc!$F$19),INDEX(Calc!BA$50:BA$64,Calc!$D$19))))</f>
        <v/>
      </c>
      <c r="AI23" s="20">
        <f>IF(AJ23="","",N(AJ22)*(1+Start!$E$28/12)-AJ23)</f>
        <v/>
      </c>
      <c r="AJ23" s="20">
        <f>IF(OR(OR(Calc!$B$4=0,$B23&gt;IF(Start!$D$10="Avalanche",Calc!$B$3,Calc!$B$2)),Calc!$B$20=0),"",IF(N(AJ22)&lt;=0.005,"",IF(Start!$D$10="Avalanche",INDEX(Calc!BA$75:BA$89,Calc!$F$20),INDEX(Calc!BA$50:BA$64,Calc!$D$20))))</f>
        <v/>
      </c>
    </row>
    <row r="24">
      <c r="B24" s="17" t="n">
        <v>18</v>
      </c>
      <c r="C24" s="19">
        <f>IF(Calc!$B$4=0,"",EDATE(Start!$D$11,17))</f>
        <v/>
      </c>
      <c r="D24" s="20">
        <f>IF(OR(Calc!$B$4=0,$B24&gt;IF(Start!$D$10="Avalanche",Calc!$B$3,Calc!$B$2)),"",SUM(G24,I24,K24,M24,O24,Q24,S24,U24,W24,Y24,AA24,AC24,AE24,AG24,AI24))</f>
        <v/>
      </c>
      <c r="E24" s="20">
        <f>IF(OR(Calc!$B$4=0,$B24&gt;IF(Start!$D$10="Avalanche",Calc!$B$3,Calc!$B$2)),"",IF(Start!$D$10="Avalanche",Calc!BB$72,Calc!BB$47))</f>
        <v/>
      </c>
      <c r="F24" s="21">
        <f>IF(Calc!$B$4=0,"",IF($B24&gt;IF(Start!$D$10="Avalanche",Calc!$B$3,Calc!$B$2),NA(),SUM(H24,J24,L24,N24,P24,R24,T24,V24,X24,Z24,AB24,AD24,AF24,AH24,AJ24)))</f>
        <v/>
      </c>
      <c r="G24" s="20">
        <f>IF(H24="","",N(H23)*(1+Start!$E$14/12)-H24)</f>
        <v/>
      </c>
      <c r="H24" s="20">
        <f>IF(OR(OR(Calc!$B$4=0,$B24&gt;IF(Start!$D$10="Avalanche",Calc!$B$3,Calc!$B$2)),Calc!$B$6=0),"",IF(N(H23)&lt;=0.005,"",IF(Start!$D$10="Avalanche",INDEX(Calc!BD$75:BD$89,Calc!$F$6),INDEX(Calc!BD$50:BD$64,Calc!$D$6))))</f>
        <v/>
      </c>
      <c r="I24" s="20">
        <f>IF(J24="","",N(J23)*(1+Start!$E$15/12)-J24)</f>
        <v/>
      </c>
      <c r="J24" s="20">
        <f>IF(OR(OR(Calc!$B$4=0,$B24&gt;IF(Start!$D$10="Avalanche",Calc!$B$3,Calc!$B$2)),Calc!$B$7=0),"",IF(N(J23)&lt;=0.005,"",IF(Start!$D$10="Avalanche",INDEX(Calc!BD$75:BD$89,Calc!$F$7),INDEX(Calc!BD$50:BD$64,Calc!$D$7))))</f>
        <v/>
      </c>
      <c r="K24" s="20">
        <f>IF(L24="","",N(L23)*(1+Start!$E$16/12)-L24)</f>
        <v/>
      </c>
      <c r="L24" s="20">
        <f>IF(OR(OR(Calc!$B$4=0,$B24&gt;IF(Start!$D$10="Avalanche",Calc!$B$3,Calc!$B$2)),Calc!$B$8=0),"",IF(N(L23)&lt;=0.005,"",IF(Start!$D$10="Avalanche",INDEX(Calc!BD$75:BD$89,Calc!$F$8),INDEX(Calc!BD$50:BD$64,Calc!$D$8))))</f>
        <v/>
      </c>
      <c r="M24" s="20">
        <f>IF(N24="","",N(N23)*(1+Start!$E$17/12)-N24)</f>
        <v/>
      </c>
      <c r="N24" s="20">
        <f>IF(OR(OR(Calc!$B$4=0,$B24&gt;IF(Start!$D$10="Avalanche",Calc!$B$3,Calc!$B$2)),Calc!$B$9=0),"",IF(N(N23)&lt;=0.005,"",IF(Start!$D$10="Avalanche",INDEX(Calc!BD$75:BD$89,Calc!$F$9),INDEX(Calc!BD$50:BD$64,Calc!$D$9))))</f>
        <v/>
      </c>
      <c r="O24" s="20">
        <f>IF(P24="","",N(P23)*(1+Start!$E$18/12)-P24)</f>
        <v/>
      </c>
      <c r="P24" s="20">
        <f>IF(OR(OR(Calc!$B$4=0,$B24&gt;IF(Start!$D$10="Avalanche",Calc!$B$3,Calc!$B$2)),Calc!$B$10=0),"",IF(N(P23)&lt;=0.005,"",IF(Start!$D$10="Avalanche",INDEX(Calc!BD$75:BD$89,Calc!$F$10),INDEX(Calc!BD$50:BD$64,Calc!$D$10))))</f>
        <v/>
      </c>
      <c r="Q24" s="20">
        <f>IF(R24="","",N(R23)*(1+Start!$E$19/12)-R24)</f>
        <v/>
      </c>
      <c r="R24" s="20">
        <f>IF(OR(OR(Calc!$B$4=0,$B24&gt;IF(Start!$D$10="Avalanche",Calc!$B$3,Calc!$B$2)),Calc!$B$11=0),"",IF(N(R23)&lt;=0.005,"",IF(Start!$D$10="Avalanche",INDEX(Calc!BD$75:BD$89,Calc!$F$11),INDEX(Calc!BD$50:BD$64,Calc!$D$11))))</f>
        <v/>
      </c>
      <c r="S24" s="20">
        <f>IF(T24="","",N(T23)*(1+Start!$E$20/12)-T24)</f>
        <v/>
      </c>
      <c r="T24" s="20">
        <f>IF(OR(OR(Calc!$B$4=0,$B24&gt;IF(Start!$D$10="Avalanche",Calc!$B$3,Calc!$B$2)),Calc!$B$12=0),"",IF(N(T23)&lt;=0.005,"",IF(Start!$D$10="Avalanche",INDEX(Calc!BD$75:BD$89,Calc!$F$12),INDEX(Calc!BD$50:BD$64,Calc!$D$12))))</f>
        <v/>
      </c>
      <c r="U24" s="20">
        <f>IF(V24="","",N(V23)*(1+Start!$E$21/12)-V24)</f>
        <v/>
      </c>
      <c r="V24" s="20">
        <f>IF(OR(OR(Calc!$B$4=0,$B24&gt;IF(Start!$D$10="Avalanche",Calc!$B$3,Calc!$B$2)),Calc!$B$13=0),"",IF(N(V23)&lt;=0.005,"",IF(Start!$D$10="Avalanche",INDEX(Calc!BD$75:BD$89,Calc!$F$13),INDEX(Calc!BD$50:BD$64,Calc!$D$13))))</f>
        <v/>
      </c>
      <c r="W24" s="20">
        <f>IF(X24="","",N(X23)*(1+Start!$E$22/12)-X24)</f>
        <v/>
      </c>
      <c r="X24" s="20">
        <f>IF(OR(OR(Calc!$B$4=0,$B24&gt;IF(Start!$D$10="Avalanche",Calc!$B$3,Calc!$B$2)),Calc!$B$14=0),"",IF(N(X23)&lt;=0.005,"",IF(Start!$D$10="Avalanche",INDEX(Calc!BD$75:BD$89,Calc!$F$14),INDEX(Calc!BD$50:BD$64,Calc!$D$14))))</f>
        <v/>
      </c>
      <c r="Y24" s="20">
        <f>IF(Z24="","",N(Z23)*(1+Start!$E$23/12)-Z24)</f>
        <v/>
      </c>
      <c r="Z24" s="20">
        <f>IF(OR(OR(Calc!$B$4=0,$B24&gt;IF(Start!$D$10="Avalanche",Calc!$B$3,Calc!$B$2)),Calc!$B$15=0),"",IF(N(Z23)&lt;=0.005,"",IF(Start!$D$10="Avalanche",INDEX(Calc!BD$75:BD$89,Calc!$F$15),INDEX(Calc!BD$50:BD$64,Calc!$D$15))))</f>
        <v/>
      </c>
      <c r="AA24" s="20">
        <f>IF(AB24="","",N(AB23)*(1+Start!$E$24/12)-AB24)</f>
        <v/>
      </c>
      <c r="AB24" s="20">
        <f>IF(OR(OR(Calc!$B$4=0,$B24&gt;IF(Start!$D$10="Avalanche",Calc!$B$3,Calc!$B$2)),Calc!$B$16=0),"",IF(N(AB23)&lt;=0.005,"",IF(Start!$D$10="Avalanche",INDEX(Calc!BD$75:BD$89,Calc!$F$16),INDEX(Calc!BD$50:BD$64,Calc!$D$16))))</f>
        <v/>
      </c>
      <c r="AC24" s="20">
        <f>IF(AD24="","",N(AD23)*(1+Start!$E$25/12)-AD24)</f>
        <v/>
      </c>
      <c r="AD24" s="20">
        <f>IF(OR(OR(Calc!$B$4=0,$B24&gt;IF(Start!$D$10="Avalanche",Calc!$B$3,Calc!$B$2)),Calc!$B$17=0),"",IF(N(AD23)&lt;=0.005,"",IF(Start!$D$10="Avalanche",INDEX(Calc!BD$75:BD$89,Calc!$F$17),INDEX(Calc!BD$50:BD$64,Calc!$D$17))))</f>
        <v/>
      </c>
      <c r="AE24" s="20">
        <f>IF(AF24="","",N(AF23)*(1+Start!$E$26/12)-AF24)</f>
        <v/>
      </c>
      <c r="AF24" s="20">
        <f>IF(OR(OR(Calc!$B$4=0,$B24&gt;IF(Start!$D$10="Avalanche",Calc!$B$3,Calc!$B$2)),Calc!$B$18=0),"",IF(N(AF23)&lt;=0.005,"",IF(Start!$D$10="Avalanche",INDEX(Calc!BD$75:BD$89,Calc!$F$18),INDEX(Calc!BD$50:BD$64,Calc!$D$18))))</f>
        <v/>
      </c>
      <c r="AG24" s="20">
        <f>IF(AH24="","",N(AH23)*(1+Start!$E$27/12)-AH24)</f>
        <v/>
      </c>
      <c r="AH24" s="20">
        <f>IF(OR(OR(Calc!$B$4=0,$B24&gt;IF(Start!$D$10="Avalanche",Calc!$B$3,Calc!$B$2)),Calc!$B$19=0),"",IF(N(AH23)&lt;=0.005,"",IF(Start!$D$10="Avalanche",INDEX(Calc!BD$75:BD$89,Calc!$F$19),INDEX(Calc!BD$50:BD$64,Calc!$D$19))))</f>
        <v/>
      </c>
      <c r="AI24" s="20">
        <f>IF(AJ24="","",N(AJ23)*(1+Start!$E$28/12)-AJ24)</f>
        <v/>
      </c>
      <c r="AJ24" s="20">
        <f>IF(OR(OR(Calc!$B$4=0,$B24&gt;IF(Start!$D$10="Avalanche",Calc!$B$3,Calc!$B$2)),Calc!$B$20=0),"",IF(N(AJ23)&lt;=0.005,"",IF(Start!$D$10="Avalanche",INDEX(Calc!BD$75:BD$89,Calc!$F$20),INDEX(Calc!BD$50:BD$64,Calc!$D$20))))</f>
        <v/>
      </c>
    </row>
    <row r="25">
      <c r="B25" s="17" t="n">
        <v>19</v>
      </c>
      <c r="C25" s="19">
        <f>IF(Calc!$B$4=0,"",EDATE(Start!$D$11,18))</f>
        <v/>
      </c>
      <c r="D25" s="20">
        <f>IF(OR(Calc!$B$4=0,$B25&gt;IF(Start!$D$10="Avalanche",Calc!$B$3,Calc!$B$2)),"",SUM(G25,I25,K25,M25,O25,Q25,S25,U25,W25,Y25,AA25,AC25,AE25,AG25,AI25))</f>
        <v/>
      </c>
      <c r="E25" s="20">
        <f>IF(OR(Calc!$B$4=0,$B25&gt;IF(Start!$D$10="Avalanche",Calc!$B$3,Calc!$B$2)),"",IF(Start!$D$10="Avalanche",Calc!BE$72,Calc!BE$47))</f>
        <v/>
      </c>
      <c r="F25" s="21">
        <f>IF(Calc!$B$4=0,"",IF($B25&gt;IF(Start!$D$10="Avalanche",Calc!$B$3,Calc!$B$2),NA(),SUM(H25,J25,L25,N25,P25,R25,T25,V25,X25,Z25,AB25,AD25,AF25,AH25,AJ25)))</f>
        <v/>
      </c>
      <c r="G25" s="20">
        <f>IF(H25="","",N(H24)*(1+Start!$E$14/12)-H25)</f>
        <v/>
      </c>
      <c r="H25" s="20">
        <f>IF(OR(OR(Calc!$B$4=0,$B25&gt;IF(Start!$D$10="Avalanche",Calc!$B$3,Calc!$B$2)),Calc!$B$6=0),"",IF(N(H24)&lt;=0.005,"",IF(Start!$D$10="Avalanche",INDEX(Calc!BG$75:BG$89,Calc!$F$6),INDEX(Calc!BG$50:BG$64,Calc!$D$6))))</f>
        <v/>
      </c>
      <c r="I25" s="20">
        <f>IF(J25="","",N(J24)*(1+Start!$E$15/12)-J25)</f>
        <v/>
      </c>
      <c r="J25" s="20">
        <f>IF(OR(OR(Calc!$B$4=0,$B25&gt;IF(Start!$D$10="Avalanche",Calc!$B$3,Calc!$B$2)),Calc!$B$7=0),"",IF(N(J24)&lt;=0.005,"",IF(Start!$D$10="Avalanche",INDEX(Calc!BG$75:BG$89,Calc!$F$7),INDEX(Calc!BG$50:BG$64,Calc!$D$7))))</f>
        <v/>
      </c>
      <c r="K25" s="20">
        <f>IF(L25="","",N(L24)*(1+Start!$E$16/12)-L25)</f>
        <v/>
      </c>
      <c r="L25" s="20">
        <f>IF(OR(OR(Calc!$B$4=0,$B25&gt;IF(Start!$D$10="Avalanche",Calc!$B$3,Calc!$B$2)),Calc!$B$8=0),"",IF(N(L24)&lt;=0.005,"",IF(Start!$D$10="Avalanche",INDEX(Calc!BG$75:BG$89,Calc!$F$8),INDEX(Calc!BG$50:BG$64,Calc!$D$8))))</f>
        <v/>
      </c>
      <c r="M25" s="20">
        <f>IF(N25="","",N(N24)*(1+Start!$E$17/12)-N25)</f>
        <v/>
      </c>
      <c r="N25" s="20">
        <f>IF(OR(OR(Calc!$B$4=0,$B25&gt;IF(Start!$D$10="Avalanche",Calc!$B$3,Calc!$B$2)),Calc!$B$9=0),"",IF(N(N24)&lt;=0.005,"",IF(Start!$D$10="Avalanche",INDEX(Calc!BG$75:BG$89,Calc!$F$9),INDEX(Calc!BG$50:BG$64,Calc!$D$9))))</f>
        <v/>
      </c>
      <c r="O25" s="20">
        <f>IF(P25="","",N(P24)*(1+Start!$E$18/12)-P25)</f>
        <v/>
      </c>
      <c r="P25" s="20">
        <f>IF(OR(OR(Calc!$B$4=0,$B25&gt;IF(Start!$D$10="Avalanche",Calc!$B$3,Calc!$B$2)),Calc!$B$10=0),"",IF(N(P24)&lt;=0.005,"",IF(Start!$D$10="Avalanche",INDEX(Calc!BG$75:BG$89,Calc!$F$10),INDEX(Calc!BG$50:BG$64,Calc!$D$10))))</f>
        <v/>
      </c>
      <c r="Q25" s="20">
        <f>IF(R25="","",N(R24)*(1+Start!$E$19/12)-R25)</f>
        <v/>
      </c>
      <c r="R25" s="20">
        <f>IF(OR(OR(Calc!$B$4=0,$B25&gt;IF(Start!$D$10="Avalanche",Calc!$B$3,Calc!$B$2)),Calc!$B$11=0),"",IF(N(R24)&lt;=0.005,"",IF(Start!$D$10="Avalanche",INDEX(Calc!BG$75:BG$89,Calc!$F$11),INDEX(Calc!BG$50:BG$64,Calc!$D$11))))</f>
        <v/>
      </c>
      <c r="S25" s="20">
        <f>IF(T25="","",N(T24)*(1+Start!$E$20/12)-T25)</f>
        <v/>
      </c>
      <c r="T25" s="20">
        <f>IF(OR(OR(Calc!$B$4=0,$B25&gt;IF(Start!$D$10="Avalanche",Calc!$B$3,Calc!$B$2)),Calc!$B$12=0),"",IF(N(T24)&lt;=0.005,"",IF(Start!$D$10="Avalanche",INDEX(Calc!BG$75:BG$89,Calc!$F$12),INDEX(Calc!BG$50:BG$64,Calc!$D$12))))</f>
        <v/>
      </c>
      <c r="U25" s="20">
        <f>IF(V25="","",N(V24)*(1+Start!$E$21/12)-V25)</f>
        <v/>
      </c>
      <c r="V25" s="20">
        <f>IF(OR(OR(Calc!$B$4=0,$B25&gt;IF(Start!$D$10="Avalanche",Calc!$B$3,Calc!$B$2)),Calc!$B$13=0),"",IF(N(V24)&lt;=0.005,"",IF(Start!$D$10="Avalanche",INDEX(Calc!BG$75:BG$89,Calc!$F$13),INDEX(Calc!BG$50:BG$64,Calc!$D$13))))</f>
        <v/>
      </c>
      <c r="W25" s="20">
        <f>IF(X25="","",N(X24)*(1+Start!$E$22/12)-X25)</f>
        <v/>
      </c>
      <c r="X25" s="20">
        <f>IF(OR(OR(Calc!$B$4=0,$B25&gt;IF(Start!$D$10="Avalanche",Calc!$B$3,Calc!$B$2)),Calc!$B$14=0),"",IF(N(X24)&lt;=0.005,"",IF(Start!$D$10="Avalanche",INDEX(Calc!BG$75:BG$89,Calc!$F$14),INDEX(Calc!BG$50:BG$64,Calc!$D$14))))</f>
        <v/>
      </c>
      <c r="Y25" s="20">
        <f>IF(Z25="","",N(Z24)*(1+Start!$E$23/12)-Z25)</f>
        <v/>
      </c>
      <c r="Z25" s="20">
        <f>IF(OR(OR(Calc!$B$4=0,$B25&gt;IF(Start!$D$10="Avalanche",Calc!$B$3,Calc!$B$2)),Calc!$B$15=0),"",IF(N(Z24)&lt;=0.005,"",IF(Start!$D$10="Avalanche",INDEX(Calc!BG$75:BG$89,Calc!$F$15),INDEX(Calc!BG$50:BG$64,Calc!$D$15))))</f>
        <v/>
      </c>
      <c r="AA25" s="20">
        <f>IF(AB25="","",N(AB24)*(1+Start!$E$24/12)-AB25)</f>
        <v/>
      </c>
      <c r="AB25" s="20">
        <f>IF(OR(OR(Calc!$B$4=0,$B25&gt;IF(Start!$D$10="Avalanche",Calc!$B$3,Calc!$B$2)),Calc!$B$16=0),"",IF(N(AB24)&lt;=0.005,"",IF(Start!$D$10="Avalanche",INDEX(Calc!BG$75:BG$89,Calc!$F$16),INDEX(Calc!BG$50:BG$64,Calc!$D$16))))</f>
        <v/>
      </c>
      <c r="AC25" s="20">
        <f>IF(AD25="","",N(AD24)*(1+Start!$E$25/12)-AD25)</f>
        <v/>
      </c>
      <c r="AD25" s="20">
        <f>IF(OR(OR(Calc!$B$4=0,$B25&gt;IF(Start!$D$10="Avalanche",Calc!$B$3,Calc!$B$2)),Calc!$B$17=0),"",IF(N(AD24)&lt;=0.005,"",IF(Start!$D$10="Avalanche",INDEX(Calc!BG$75:BG$89,Calc!$F$17),INDEX(Calc!BG$50:BG$64,Calc!$D$17))))</f>
        <v/>
      </c>
      <c r="AE25" s="20">
        <f>IF(AF25="","",N(AF24)*(1+Start!$E$26/12)-AF25)</f>
        <v/>
      </c>
      <c r="AF25" s="20">
        <f>IF(OR(OR(Calc!$B$4=0,$B25&gt;IF(Start!$D$10="Avalanche",Calc!$B$3,Calc!$B$2)),Calc!$B$18=0),"",IF(N(AF24)&lt;=0.005,"",IF(Start!$D$10="Avalanche",INDEX(Calc!BG$75:BG$89,Calc!$F$18),INDEX(Calc!BG$50:BG$64,Calc!$D$18))))</f>
        <v/>
      </c>
      <c r="AG25" s="20">
        <f>IF(AH25="","",N(AH24)*(1+Start!$E$27/12)-AH25)</f>
        <v/>
      </c>
      <c r="AH25" s="20">
        <f>IF(OR(OR(Calc!$B$4=0,$B25&gt;IF(Start!$D$10="Avalanche",Calc!$B$3,Calc!$B$2)),Calc!$B$19=0),"",IF(N(AH24)&lt;=0.005,"",IF(Start!$D$10="Avalanche",INDEX(Calc!BG$75:BG$89,Calc!$F$19),INDEX(Calc!BG$50:BG$64,Calc!$D$19))))</f>
        <v/>
      </c>
      <c r="AI25" s="20">
        <f>IF(AJ25="","",N(AJ24)*(1+Start!$E$28/12)-AJ25)</f>
        <v/>
      </c>
      <c r="AJ25" s="20">
        <f>IF(OR(OR(Calc!$B$4=0,$B25&gt;IF(Start!$D$10="Avalanche",Calc!$B$3,Calc!$B$2)),Calc!$B$20=0),"",IF(N(AJ24)&lt;=0.005,"",IF(Start!$D$10="Avalanche",INDEX(Calc!BG$75:BG$89,Calc!$F$20),INDEX(Calc!BG$50:BG$64,Calc!$D$20))))</f>
        <v/>
      </c>
    </row>
    <row r="26">
      <c r="B26" s="17" t="n">
        <v>20</v>
      </c>
      <c r="C26" s="19">
        <f>IF(Calc!$B$4=0,"",EDATE(Start!$D$11,19))</f>
        <v/>
      </c>
      <c r="D26" s="20">
        <f>IF(OR(Calc!$B$4=0,$B26&gt;IF(Start!$D$10="Avalanche",Calc!$B$3,Calc!$B$2)),"",SUM(G26,I26,K26,M26,O26,Q26,S26,U26,W26,Y26,AA26,AC26,AE26,AG26,AI26))</f>
        <v/>
      </c>
      <c r="E26" s="20">
        <f>IF(OR(Calc!$B$4=0,$B26&gt;IF(Start!$D$10="Avalanche",Calc!$B$3,Calc!$B$2)),"",IF(Start!$D$10="Avalanche",Calc!BH$72,Calc!BH$47))</f>
        <v/>
      </c>
      <c r="F26" s="21">
        <f>IF(Calc!$B$4=0,"",IF($B26&gt;IF(Start!$D$10="Avalanche",Calc!$B$3,Calc!$B$2),NA(),SUM(H26,J26,L26,N26,P26,R26,T26,V26,X26,Z26,AB26,AD26,AF26,AH26,AJ26)))</f>
        <v/>
      </c>
      <c r="G26" s="20">
        <f>IF(H26="","",N(H25)*(1+Start!$E$14/12)-H26)</f>
        <v/>
      </c>
      <c r="H26" s="20">
        <f>IF(OR(OR(Calc!$B$4=0,$B26&gt;IF(Start!$D$10="Avalanche",Calc!$B$3,Calc!$B$2)),Calc!$B$6=0),"",IF(N(H25)&lt;=0.005,"",IF(Start!$D$10="Avalanche",INDEX(Calc!BJ$75:BJ$89,Calc!$F$6),INDEX(Calc!BJ$50:BJ$64,Calc!$D$6))))</f>
        <v/>
      </c>
      <c r="I26" s="20">
        <f>IF(J26="","",N(J25)*(1+Start!$E$15/12)-J26)</f>
        <v/>
      </c>
      <c r="J26" s="20">
        <f>IF(OR(OR(Calc!$B$4=0,$B26&gt;IF(Start!$D$10="Avalanche",Calc!$B$3,Calc!$B$2)),Calc!$B$7=0),"",IF(N(J25)&lt;=0.005,"",IF(Start!$D$10="Avalanche",INDEX(Calc!BJ$75:BJ$89,Calc!$F$7),INDEX(Calc!BJ$50:BJ$64,Calc!$D$7))))</f>
        <v/>
      </c>
      <c r="K26" s="20">
        <f>IF(L26="","",N(L25)*(1+Start!$E$16/12)-L26)</f>
        <v/>
      </c>
      <c r="L26" s="20">
        <f>IF(OR(OR(Calc!$B$4=0,$B26&gt;IF(Start!$D$10="Avalanche",Calc!$B$3,Calc!$B$2)),Calc!$B$8=0),"",IF(N(L25)&lt;=0.005,"",IF(Start!$D$10="Avalanche",INDEX(Calc!BJ$75:BJ$89,Calc!$F$8),INDEX(Calc!BJ$50:BJ$64,Calc!$D$8))))</f>
        <v/>
      </c>
      <c r="M26" s="20">
        <f>IF(N26="","",N(N25)*(1+Start!$E$17/12)-N26)</f>
        <v/>
      </c>
      <c r="N26" s="20">
        <f>IF(OR(OR(Calc!$B$4=0,$B26&gt;IF(Start!$D$10="Avalanche",Calc!$B$3,Calc!$B$2)),Calc!$B$9=0),"",IF(N(N25)&lt;=0.005,"",IF(Start!$D$10="Avalanche",INDEX(Calc!BJ$75:BJ$89,Calc!$F$9),INDEX(Calc!BJ$50:BJ$64,Calc!$D$9))))</f>
        <v/>
      </c>
      <c r="O26" s="20">
        <f>IF(P26="","",N(P25)*(1+Start!$E$18/12)-P26)</f>
        <v/>
      </c>
      <c r="P26" s="20">
        <f>IF(OR(OR(Calc!$B$4=0,$B26&gt;IF(Start!$D$10="Avalanche",Calc!$B$3,Calc!$B$2)),Calc!$B$10=0),"",IF(N(P25)&lt;=0.005,"",IF(Start!$D$10="Avalanche",INDEX(Calc!BJ$75:BJ$89,Calc!$F$10),INDEX(Calc!BJ$50:BJ$64,Calc!$D$10))))</f>
        <v/>
      </c>
      <c r="Q26" s="20">
        <f>IF(R26="","",N(R25)*(1+Start!$E$19/12)-R26)</f>
        <v/>
      </c>
      <c r="R26" s="20">
        <f>IF(OR(OR(Calc!$B$4=0,$B26&gt;IF(Start!$D$10="Avalanche",Calc!$B$3,Calc!$B$2)),Calc!$B$11=0),"",IF(N(R25)&lt;=0.005,"",IF(Start!$D$10="Avalanche",INDEX(Calc!BJ$75:BJ$89,Calc!$F$11),INDEX(Calc!BJ$50:BJ$64,Calc!$D$11))))</f>
        <v/>
      </c>
      <c r="S26" s="20">
        <f>IF(T26="","",N(T25)*(1+Start!$E$20/12)-T26)</f>
        <v/>
      </c>
      <c r="T26" s="20">
        <f>IF(OR(OR(Calc!$B$4=0,$B26&gt;IF(Start!$D$10="Avalanche",Calc!$B$3,Calc!$B$2)),Calc!$B$12=0),"",IF(N(T25)&lt;=0.005,"",IF(Start!$D$10="Avalanche",INDEX(Calc!BJ$75:BJ$89,Calc!$F$12),INDEX(Calc!BJ$50:BJ$64,Calc!$D$12))))</f>
        <v/>
      </c>
      <c r="U26" s="20">
        <f>IF(V26="","",N(V25)*(1+Start!$E$21/12)-V26)</f>
        <v/>
      </c>
      <c r="V26" s="20">
        <f>IF(OR(OR(Calc!$B$4=0,$B26&gt;IF(Start!$D$10="Avalanche",Calc!$B$3,Calc!$B$2)),Calc!$B$13=0),"",IF(N(V25)&lt;=0.005,"",IF(Start!$D$10="Avalanche",INDEX(Calc!BJ$75:BJ$89,Calc!$F$13),INDEX(Calc!BJ$50:BJ$64,Calc!$D$13))))</f>
        <v/>
      </c>
      <c r="W26" s="20">
        <f>IF(X26="","",N(X25)*(1+Start!$E$22/12)-X26)</f>
        <v/>
      </c>
      <c r="X26" s="20">
        <f>IF(OR(OR(Calc!$B$4=0,$B26&gt;IF(Start!$D$10="Avalanche",Calc!$B$3,Calc!$B$2)),Calc!$B$14=0),"",IF(N(X25)&lt;=0.005,"",IF(Start!$D$10="Avalanche",INDEX(Calc!BJ$75:BJ$89,Calc!$F$14),INDEX(Calc!BJ$50:BJ$64,Calc!$D$14))))</f>
        <v/>
      </c>
      <c r="Y26" s="20">
        <f>IF(Z26="","",N(Z25)*(1+Start!$E$23/12)-Z26)</f>
        <v/>
      </c>
      <c r="Z26" s="20">
        <f>IF(OR(OR(Calc!$B$4=0,$B26&gt;IF(Start!$D$10="Avalanche",Calc!$B$3,Calc!$B$2)),Calc!$B$15=0),"",IF(N(Z25)&lt;=0.005,"",IF(Start!$D$10="Avalanche",INDEX(Calc!BJ$75:BJ$89,Calc!$F$15),INDEX(Calc!BJ$50:BJ$64,Calc!$D$15))))</f>
        <v/>
      </c>
      <c r="AA26" s="20">
        <f>IF(AB26="","",N(AB25)*(1+Start!$E$24/12)-AB26)</f>
        <v/>
      </c>
      <c r="AB26" s="20">
        <f>IF(OR(OR(Calc!$B$4=0,$B26&gt;IF(Start!$D$10="Avalanche",Calc!$B$3,Calc!$B$2)),Calc!$B$16=0),"",IF(N(AB25)&lt;=0.005,"",IF(Start!$D$10="Avalanche",INDEX(Calc!BJ$75:BJ$89,Calc!$F$16),INDEX(Calc!BJ$50:BJ$64,Calc!$D$16))))</f>
        <v/>
      </c>
      <c r="AC26" s="20">
        <f>IF(AD26="","",N(AD25)*(1+Start!$E$25/12)-AD26)</f>
        <v/>
      </c>
      <c r="AD26" s="20">
        <f>IF(OR(OR(Calc!$B$4=0,$B26&gt;IF(Start!$D$10="Avalanche",Calc!$B$3,Calc!$B$2)),Calc!$B$17=0),"",IF(N(AD25)&lt;=0.005,"",IF(Start!$D$10="Avalanche",INDEX(Calc!BJ$75:BJ$89,Calc!$F$17),INDEX(Calc!BJ$50:BJ$64,Calc!$D$17))))</f>
        <v/>
      </c>
      <c r="AE26" s="20">
        <f>IF(AF26="","",N(AF25)*(1+Start!$E$26/12)-AF26)</f>
        <v/>
      </c>
      <c r="AF26" s="20">
        <f>IF(OR(OR(Calc!$B$4=0,$B26&gt;IF(Start!$D$10="Avalanche",Calc!$B$3,Calc!$B$2)),Calc!$B$18=0),"",IF(N(AF25)&lt;=0.005,"",IF(Start!$D$10="Avalanche",INDEX(Calc!BJ$75:BJ$89,Calc!$F$18),INDEX(Calc!BJ$50:BJ$64,Calc!$D$18))))</f>
        <v/>
      </c>
      <c r="AG26" s="20">
        <f>IF(AH26="","",N(AH25)*(1+Start!$E$27/12)-AH26)</f>
        <v/>
      </c>
      <c r="AH26" s="20">
        <f>IF(OR(OR(Calc!$B$4=0,$B26&gt;IF(Start!$D$10="Avalanche",Calc!$B$3,Calc!$B$2)),Calc!$B$19=0),"",IF(N(AH25)&lt;=0.005,"",IF(Start!$D$10="Avalanche",INDEX(Calc!BJ$75:BJ$89,Calc!$F$19),INDEX(Calc!BJ$50:BJ$64,Calc!$D$19))))</f>
        <v/>
      </c>
      <c r="AI26" s="20">
        <f>IF(AJ26="","",N(AJ25)*(1+Start!$E$28/12)-AJ26)</f>
        <v/>
      </c>
      <c r="AJ26" s="20">
        <f>IF(OR(OR(Calc!$B$4=0,$B26&gt;IF(Start!$D$10="Avalanche",Calc!$B$3,Calc!$B$2)),Calc!$B$20=0),"",IF(N(AJ25)&lt;=0.005,"",IF(Start!$D$10="Avalanche",INDEX(Calc!BJ$75:BJ$89,Calc!$F$20),INDEX(Calc!BJ$50:BJ$64,Calc!$D$20))))</f>
        <v/>
      </c>
    </row>
    <row r="27">
      <c r="B27" s="17" t="n">
        <v>21</v>
      </c>
      <c r="C27" s="19">
        <f>IF(Calc!$B$4=0,"",EDATE(Start!$D$11,20))</f>
        <v/>
      </c>
      <c r="D27" s="20">
        <f>IF(OR(Calc!$B$4=0,$B27&gt;IF(Start!$D$10="Avalanche",Calc!$B$3,Calc!$B$2)),"",SUM(G27,I27,K27,M27,O27,Q27,S27,U27,W27,Y27,AA27,AC27,AE27,AG27,AI27))</f>
        <v/>
      </c>
      <c r="E27" s="20">
        <f>IF(OR(Calc!$B$4=0,$B27&gt;IF(Start!$D$10="Avalanche",Calc!$B$3,Calc!$B$2)),"",IF(Start!$D$10="Avalanche",Calc!BK$72,Calc!BK$47))</f>
        <v/>
      </c>
      <c r="F27" s="21">
        <f>IF(Calc!$B$4=0,"",IF($B27&gt;IF(Start!$D$10="Avalanche",Calc!$B$3,Calc!$B$2),NA(),SUM(H27,J27,L27,N27,P27,R27,T27,V27,X27,Z27,AB27,AD27,AF27,AH27,AJ27)))</f>
        <v/>
      </c>
      <c r="G27" s="20">
        <f>IF(H27="","",N(H26)*(1+Start!$E$14/12)-H27)</f>
        <v/>
      </c>
      <c r="H27" s="20">
        <f>IF(OR(OR(Calc!$B$4=0,$B27&gt;IF(Start!$D$10="Avalanche",Calc!$B$3,Calc!$B$2)),Calc!$B$6=0),"",IF(N(H26)&lt;=0.005,"",IF(Start!$D$10="Avalanche",INDEX(Calc!BM$75:BM$89,Calc!$F$6),INDEX(Calc!BM$50:BM$64,Calc!$D$6))))</f>
        <v/>
      </c>
      <c r="I27" s="20">
        <f>IF(J27="","",N(J26)*(1+Start!$E$15/12)-J27)</f>
        <v/>
      </c>
      <c r="J27" s="20">
        <f>IF(OR(OR(Calc!$B$4=0,$B27&gt;IF(Start!$D$10="Avalanche",Calc!$B$3,Calc!$B$2)),Calc!$B$7=0),"",IF(N(J26)&lt;=0.005,"",IF(Start!$D$10="Avalanche",INDEX(Calc!BM$75:BM$89,Calc!$F$7),INDEX(Calc!BM$50:BM$64,Calc!$D$7))))</f>
        <v/>
      </c>
      <c r="K27" s="20">
        <f>IF(L27="","",N(L26)*(1+Start!$E$16/12)-L27)</f>
        <v/>
      </c>
      <c r="L27" s="20">
        <f>IF(OR(OR(Calc!$B$4=0,$B27&gt;IF(Start!$D$10="Avalanche",Calc!$B$3,Calc!$B$2)),Calc!$B$8=0),"",IF(N(L26)&lt;=0.005,"",IF(Start!$D$10="Avalanche",INDEX(Calc!BM$75:BM$89,Calc!$F$8),INDEX(Calc!BM$50:BM$64,Calc!$D$8))))</f>
        <v/>
      </c>
      <c r="M27" s="20">
        <f>IF(N27="","",N(N26)*(1+Start!$E$17/12)-N27)</f>
        <v/>
      </c>
      <c r="N27" s="20">
        <f>IF(OR(OR(Calc!$B$4=0,$B27&gt;IF(Start!$D$10="Avalanche",Calc!$B$3,Calc!$B$2)),Calc!$B$9=0),"",IF(N(N26)&lt;=0.005,"",IF(Start!$D$10="Avalanche",INDEX(Calc!BM$75:BM$89,Calc!$F$9),INDEX(Calc!BM$50:BM$64,Calc!$D$9))))</f>
        <v/>
      </c>
      <c r="O27" s="20">
        <f>IF(P27="","",N(P26)*(1+Start!$E$18/12)-P27)</f>
        <v/>
      </c>
      <c r="P27" s="20">
        <f>IF(OR(OR(Calc!$B$4=0,$B27&gt;IF(Start!$D$10="Avalanche",Calc!$B$3,Calc!$B$2)),Calc!$B$10=0),"",IF(N(P26)&lt;=0.005,"",IF(Start!$D$10="Avalanche",INDEX(Calc!BM$75:BM$89,Calc!$F$10),INDEX(Calc!BM$50:BM$64,Calc!$D$10))))</f>
        <v/>
      </c>
      <c r="Q27" s="20">
        <f>IF(R27="","",N(R26)*(1+Start!$E$19/12)-R27)</f>
        <v/>
      </c>
      <c r="R27" s="20">
        <f>IF(OR(OR(Calc!$B$4=0,$B27&gt;IF(Start!$D$10="Avalanche",Calc!$B$3,Calc!$B$2)),Calc!$B$11=0),"",IF(N(R26)&lt;=0.005,"",IF(Start!$D$10="Avalanche",INDEX(Calc!BM$75:BM$89,Calc!$F$11),INDEX(Calc!BM$50:BM$64,Calc!$D$11))))</f>
        <v/>
      </c>
      <c r="S27" s="20">
        <f>IF(T27="","",N(T26)*(1+Start!$E$20/12)-T27)</f>
        <v/>
      </c>
      <c r="T27" s="20">
        <f>IF(OR(OR(Calc!$B$4=0,$B27&gt;IF(Start!$D$10="Avalanche",Calc!$B$3,Calc!$B$2)),Calc!$B$12=0),"",IF(N(T26)&lt;=0.005,"",IF(Start!$D$10="Avalanche",INDEX(Calc!BM$75:BM$89,Calc!$F$12),INDEX(Calc!BM$50:BM$64,Calc!$D$12))))</f>
        <v/>
      </c>
      <c r="U27" s="20">
        <f>IF(V27="","",N(V26)*(1+Start!$E$21/12)-V27)</f>
        <v/>
      </c>
      <c r="V27" s="20">
        <f>IF(OR(OR(Calc!$B$4=0,$B27&gt;IF(Start!$D$10="Avalanche",Calc!$B$3,Calc!$B$2)),Calc!$B$13=0),"",IF(N(V26)&lt;=0.005,"",IF(Start!$D$10="Avalanche",INDEX(Calc!BM$75:BM$89,Calc!$F$13),INDEX(Calc!BM$50:BM$64,Calc!$D$13))))</f>
        <v/>
      </c>
      <c r="W27" s="20">
        <f>IF(X27="","",N(X26)*(1+Start!$E$22/12)-X27)</f>
        <v/>
      </c>
      <c r="X27" s="20">
        <f>IF(OR(OR(Calc!$B$4=0,$B27&gt;IF(Start!$D$10="Avalanche",Calc!$B$3,Calc!$B$2)),Calc!$B$14=0),"",IF(N(X26)&lt;=0.005,"",IF(Start!$D$10="Avalanche",INDEX(Calc!BM$75:BM$89,Calc!$F$14),INDEX(Calc!BM$50:BM$64,Calc!$D$14))))</f>
        <v/>
      </c>
      <c r="Y27" s="20">
        <f>IF(Z27="","",N(Z26)*(1+Start!$E$23/12)-Z27)</f>
        <v/>
      </c>
      <c r="Z27" s="20">
        <f>IF(OR(OR(Calc!$B$4=0,$B27&gt;IF(Start!$D$10="Avalanche",Calc!$B$3,Calc!$B$2)),Calc!$B$15=0),"",IF(N(Z26)&lt;=0.005,"",IF(Start!$D$10="Avalanche",INDEX(Calc!BM$75:BM$89,Calc!$F$15),INDEX(Calc!BM$50:BM$64,Calc!$D$15))))</f>
        <v/>
      </c>
      <c r="AA27" s="20">
        <f>IF(AB27="","",N(AB26)*(1+Start!$E$24/12)-AB27)</f>
        <v/>
      </c>
      <c r="AB27" s="20">
        <f>IF(OR(OR(Calc!$B$4=0,$B27&gt;IF(Start!$D$10="Avalanche",Calc!$B$3,Calc!$B$2)),Calc!$B$16=0),"",IF(N(AB26)&lt;=0.005,"",IF(Start!$D$10="Avalanche",INDEX(Calc!BM$75:BM$89,Calc!$F$16),INDEX(Calc!BM$50:BM$64,Calc!$D$16))))</f>
        <v/>
      </c>
      <c r="AC27" s="20">
        <f>IF(AD27="","",N(AD26)*(1+Start!$E$25/12)-AD27)</f>
        <v/>
      </c>
      <c r="AD27" s="20">
        <f>IF(OR(OR(Calc!$B$4=0,$B27&gt;IF(Start!$D$10="Avalanche",Calc!$B$3,Calc!$B$2)),Calc!$B$17=0),"",IF(N(AD26)&lt;=0.005,"",IF(Start!$D$10="Avalanche",INDEX(Calc!BM$75:BM$89,Calc!$F$17),INDEX(Calc!BM$50:BM$64,Calc!$D$17))))</f>
        <v/>
      </c>
      <c r="AE27" s="20">
        <f>IF(AF27="","",N(AF26)*(1+Start!$E$26/12)-AF27)</f>
        <v/>
      </c>
      <c r="AF27" s="20">
        <f>IF(OR(OR(Calc!$B$4=0,$B27&gt;IF(Start!$D$10="Avalanche",Calc!$B$3,Calc!$B$2)),Calc!$B$18=0),"",IF(N(AF26)&lt;=0.005,"",IF(Start!$D$10="Avalanche",INDEX(Calc!BM$75:BM$89,Calc!$F$18),INDEX(Calc!BM$50:BM$64,Calc!$D$18))))</f>
        <v/>
      </c>
      <c r="AG27" s="20">
        <f>IF(AH27="","",N(AH26)*(1+Start!$E$27/12)-AH27)</f>
        <v/>
      </c>
      <c r="AH27" s="20">
        <f>IF(OR(OR(Calc!$B$4=0,$B27&gt;IF(Start!$D$10="Avalanche",Calc!$B$3,Calc!$B$2)),Calc!$B$19=0),"",IF(N(AH26)&lt;=0.005,"",IF(Start!$D$10="Avalanche",INDEX(Calc!BM$75:BM$89,Calc!$F$19),INDEX(Calc!BM$50:BM$64,Calc!$D$19))))</f>
        <v/>
      </c>
      <c r="AI27" s="20">
        <f>IF(AJ27="","",N(AJ26)*(1+Start!$E$28/12)-AJ27)</f>
        <v/>
      </c>
      <c r="AJ27" s="20">
        <f>IF(OR(OR(Calc!$B$4=0,$B27&gt;IF(Start!$D$10="Avalanche",Calc!$B$3,Calc!$B$2)),Calc!$B$20=0),"",IF(N(AJ26)&lt;=0.005,"",IF(Start!$D$10="Avalanche",INDEX(Calc!BM$75:BM$89,Calc!$F$20),INDEX(Calc!BM$50:BM$64,Calc!$D$20))))</f>
        <v/>
      </c>
    </row>
    <row r="28">
      <c r="B28" s="17" t="n">
        <v>22</v>
      </c>
      <c r="C28" s="19">
        <f>IF(Calc!$B$4=0,"",EDATE(Start!$D$11,21))</f>
        <v/>
      </c>
      <c r="D28" s="20">
        <f>IF(OR(Calc!$B$4=0,$B28&gt;IF(Start!$D$10="Avalanche",Calc!$B$3,Calc!$B$2)),"",SUM(G28,I28,K28,M28,O28,Q28,S28,U28,W28,Y28,AA28,AC28,AE28,AG28,AI28))</f>
        <v/>
      </c>
      <c r="E28" s="20">
        <f>IF(OR(Calc!$B$4=0,$B28&gt;IF(Start!$D$10="Avalanche",Calc!$B$3,Calc!$B$2)),"",IF(Start!$D$10="Avalanche",Calc!BN$72,Calc!BN$47))</f>
        <v/>
      </c>
      <c r="F28" s="21">
        <f>IF(Calc!$B$4=0,"",IF($B28&gt;IF(Start!$D$10="Avalanche",Calc!$B$3,Calc!$B$2),NA(),SUM(H28,J28,L28,N28,P28,R28,T28,V28,X28,Z28,AB28,AD28,AF28,AH28,AJ28)))</f>
        <v/>
      </c>
      <c r="G28" s="20">
        <f>IF(H28="","",N(H27)*(1+Start!$E$14/12)-H28)</f>
        <v/>
      </c>
      <c r="H28" s="20">
        <f>IF(OR(OR(Calc!$B$4=0,$B28&gt;IF(Start!$D$10="Avalanche",Calc!$B$3,Calc!$B$2)),Calc!$B$6=0),"",IF(N(H27)&lt;=0.005,"",IF(Start!$D$10="Avalanche",INDEX(Calc!BP$75:BP$89,Calc!$F$6),INDEX(Calc!BP$50:BP$64,Calc!$D$6))))</f>
        <v/>
      </c>
      <c r="I28" s="20">
        <f>IF(J28="","",N(J27)*(1+Start!$E$15/12)-J28)</f>
        <v/>
      </c>
      <c r="J28" s="20">
        <f>IF(OR(OR(Calc!$B$4=0,$B28&gt;IF(Start!$D$10="Avalanche",Calc!$B$3,Calc!$B$2)),Calc!$B$7=0),"",IF(N(J27)&lt;=0.005,"",IF(Start!$D$10="Avalanche",INDEX(Calc!BP$75:BP$89,Calc!$F$7),INDEX(Calc!BP$50:BP$64,Calc!$D$7))))</f>
        <v/>
      </c>
      <c r="K28" s="20">
        <f>IF(L28="","",N(L27)*(1+Start!$E$16/12)-L28)</f>
        <v/>
      </c>
      <c r="L28" s="20">
        <f>IF(OR(OR(Calc!$B$4=0,$B28&gt;IF(Start!$D$10="Avalanche",Calc!$B$3,Calc!$B$2)),Calc!$B$8=0),"",IF(N(L27)&lt;=0.005,"",IF(Start!$D$10="Avalanche",INDEX(Calc!BP$75:BP$89,Calc!$F$8),INDEX(Calc!BP$50:BP$64,Calc!$D$8))))</f>
        <v/>
      </c>
      <c r="M28" s="20">
        <f>IF(N28="","",N(N27)*(1+Start!$E$17/12)-N28)</f>
        <v/>
      </c>
      <c r="N28" s="20">
        <f>IF(OR(OR(Calc!$B$4=0,$B28&gt;IF(Start!$D$10="Avalanche",Calc!$B$3,Calc!$B$2)),Calc!$B$9=0),"",IF(N(N27)&lt;=0.005,"",IF(Start!$D$10="Avalanche",INDEX(Calc!BP$75:BP$89,Calc!$F$9),INDEX(Calc!BP$50:BP$64,Calc!$D$9))))</f>
        <v/>
      </c>
      <c r="O28" s="20">
        <f>IF(P28="","",N(P27)*(1+Start!$E$18/12)-P28)</f>
        <v/>
      </c>
      <c r="P28" s="20">
        <f>IF(OR(OR(Calc!$B$4=0,$B28&gt;IF(Start!$D$10="Avalanche",Calc!$B$3,Calc!$B$2)),Calc!$B$10=0),"",IF(N(P27)&lt;=0.005,"",IF(Start!$D$10="Avalanche",INDEX(Calc!BP$75:BP$89,Calc!$F$10),INDEX(Calc!BP$50:BP$64,Calc!$D$10))))</f>
        <v/>
      </c>
      <c r="Q28" s="20">
        <f>IF(R28="","",N(R27)*(1+Start!$E$19/12)-R28)</f>
        <v/>
      </c>
      <c r="R28" s="20">
        <f>IF(OR(OR(Calc!$B$4=0,$B28&gt;IF(Start!$D$10="Avalanche",Calc!$B$3,Calc!$B$2)),Calc!$B$11=0),"",IF(N(R27)&lt;=0.005,"",IF(Start!$D$10="Avalanche",INDEX(Calc!BP$75:BP$89,Calc!$F$11),INDEX(Calc!BP$50:BP$64,Calc!$D$11))))</f>
        <v/>
      </c>
      <c r="S28" s="20">
        <f>IF(T28="","",N(T27)*(1+Start!$E$20/12)-T28)</f>
        <v/>
      </c>
      <c r="T28" s="20">
        <f>IF(OR(OR(Calc!$B$4=0,$B28&gt;IF(Start!$D$10="Avalanche",Calc!$B$3,Calc!$B$2)),Calc!$B$12=0),"",IF(N(T27)&lt;=0.005,"",IF(Start!$D$10="Avalanche",INDEX(Calc!BP$75:BP$89,Calc!$F$12),INDEX(Calc!BP$50:BP$64,Calc!$D$12))))</f>
        <v/>
      </c>
      <c r="U28" s="20">
        <f>IF(V28="","",N(V27)*(1+Start!$E$21/12)-V28)</f>
        <v/>
      </c>
      <c r="V28" s="20">
        <f>IF(OR(OR(Calc!$B$4=0,$B28&gt;IF(Start!$D$10="Avalanche",Calc!$B$3,Calc!$B$2)),Calc!$B$13=0),"",IF(N(V27)&lt;=0.005,"",IF(Start!$D$10="Avalanche",INDEX(Calc!BP$75:BP$89,Calc!$F$13),INDEX(Calc!BP$50:BP$64,Calc!$D$13))))</f>
        <v/>
      </c>
      <c r="W28" s="20">
        <f>IF(X28="","",N(X27)*(1+Start!$E$22/12)-X28)</f>
        <v/>
      </c>
      <c r="X28" s="20">
        <f>IF(OR(OR(Calc!$B$4=0,$B28&gt;IF(Start!$D$10="Avalanche",Calc!$B$3,Calc!$B$2)),Calc!$B$14=0),"",IF(N(X27)&lt;=0.005,"",IF(Start!$D$10="Avalanche",INDEX(Calc!BP$75:BP$89,Calc!$F$14),INDEX(Calc!BP$50:BP$64,Calc!$D$14))))</f>
        <v/>
      </c>
      <c r="Y28" s="20">
        <f>IF(Z28="","",N(Z27)*(1+Start!$E$23/12)-Z28)</f>
        <v/>
      </c>
      <c r="Z28" s="20">
        <f>IF(OR(OR(Calc!$B$4=0,$B28&gt;IF(Start!$D$10="Avalanche",Calc!$B$3,Calc!$B$2)),Calc!$B$15=0),"",IF(N(Z27)&lt;=0.005,"",IF(Start!$D$10="Avalanche",INDEX(Calc!BP$75:BP$89,Calc!$F$15),INDEX(Calc!BP$50:BP$64,Calc!$D$15))))</f>
        <v/>
      </c>
      <c r="AA28" s="20">
        <f>IF(AB28="","",N(AB27)*(1+Start!$E$24/12)-AB28)</f>
        <v/>
      </c>
      <c r="AB28" s="20">
        <f>IF(OR(OR(Calc!$B$4=0,$B28&gt;IF(Start!$D$10="Avalanche",Calc!$B$3,Calc!$B$2)),Calc!$B$16=0),"",IF(N(AB27)&lt;=0.005,"",IF(Start!$D$10="Avalanche",INDEX(Calc!BP$75:BP$89,Calc!$F$16),INDEX(Calc!BP$50:BP$64,Calc!$D$16))))</f>
        <v/>
      </c>
      <c r="AC28" s="20">
        <f>IF(AD28="","",N(AD27)*(1+Start!$E$25/12)-AD28)</f>
        <v/>
      </c>
      <c r="AD28" s="20">
        <f>IF(OR(OR(Calc!$B$4=0,$B28&gt;IF(Start!$D$10="Avalanche",Calc!$B$3,Calc!$B$2)),Calc!$B$17=0),"",IF(N(AD27)&lt;=0.005,"",IF(Start!$D$10="Avalanche",INDEX(Calc!BP$75:BP$89,Calc!$F$17),INDEX(Calc!BP$50:BP$64,Calc!$D$17))))</f>
        <v/>
      </c>
      <c r="AE28" s="20">
        <f>IF(AF28="","",N(AF27)*(1+Start!$E$26/12)-AF28)</f>
        <v/>
      </c>
      <c r="AF28" s="20">
        <f>IF(OR(OR(Calc!$B$4=0,$B28&gt;IF(Start!$D$10="Avalanche",Calc!$B$3,Calc!$B$2)),Calc!$B$18=0),"",IF(N(AF27)&lt;=0.005,"",IF(Start!$D$10="Avalanche",INDEX(Calc!BP$75:BP$89,Calc!$F$18),INDEX(Calc!BP$50:BP$64,Calc!$D$18))))</f>
        <v/>
      </c>
      <c r="AG28" s="20">
        <f>IF(AH28="","",N(AH27)*(1+Start!$E$27/12)-AH28)</f>
        <v/>
      </c>
      <c r="AH28" s="20">
        <f>IF(OR(OR(Calc!$B$4=0,$B28&gt;IF(Start!$D$10="Avalanche",Calc!$B$3,Calc!$B$2)),Calc!$B$19=0),"",IF(N(AH27)&lt;=0.005,"",IF(Start!$D$10="Avalanche",INDEX(Calc!BP$75:BP$89,Calc!$F$19),INDEX(Calc!BP$50:BP$64,Calc!$D$19))))</f>
        <v/>
      </c>
      <c r="AI28" s="20">
        <f>IF(AJ28="","",N(AJ27)*(1+Start!$E$28/12)-AJ28)</f>
        <v/>
      </c>
      <c r="AJ28" s="20">
        <f>IF(OR(OR(Calc!$B$4=0,$B28&gt;IF(Start!$D$10="Avalanche",Calc!$B$3,Calc!$B$2)),Calc!$B$20=0),"",IF(N(AJ27)&lt;=0.005,"",IF(Start!$D$10="Avalanche",INDEX(Calc!BP$75:BP$89,Calc!$F$20),INDEX(Calc!BP$50:BP$64,Calc!$D$20))))</f>
        <v/>
      </c>
    </row>
    <row r="29">
      <c r="B29" s="17" t="n">
        <v>23</v>
      </c>
      <c r="C29" s="19">
        <f>IF(Calc!$B$4=0,"",EDATE(Start!$D$11,22))</f>
        <v/>
      </c>
      <c r="D29" s="20">
        <f>IF(OR(Calc!$B$4=0,$B29&gt;IF(Start!$D$10="Avalanche",Calc!$B$3,Calc!$B$2)),"",SUM(G29,I29,K29,M29,O29,Q29,S29,U29,W29,Y29,AA29,AC29,AE29,AG29,AI29))</f>
        <v/>
      </c>
      <c r="E29" s="20">
        <f>IF(OR(Calc!$B$4=0,$B29&gt;IF(Start!$D$10="Avalanche",Calc!$B$3,Calc!$B$2)),"",IF(Start!$D$10="Avalanche",Calc!BQ$72,Calc!BQ$47))</f>
        <v/>
      </c>
      <c r="F29" s="21">
        <f>IF(Calc!$B$4=0,"",IF($B29&gt;IF(Start!$D$10="Avalanche",Calc!$B$3,Calc!$B$2),NA(),SUM(H29,J29,L29,N29,P29,R29,T29,V29,X29,Z29,AB29,AD29,AF29,AH29,AJ29)))</f>
        <v/>
      </c>
      <c r="G29" s="20">
        <f>IF(H29="","",N(H28)*(1+Start!$E$14/12)-H29)</f>
        <v/>
      </c>
      <c r="H29" s="20">
        <f>IF(OR(OR(Calc!$B$4=0,$B29&gt;IF(Start!$D$10="Avalanche",Calc!$B$3,Calc!$B$2)),Calc!$B$6=0),"",IF(N(H28)&lt;=0.005,"",IF(Start!$D$10="Avalanche",INDEX(Calc!BS$75:BS$89,Calc!$F$6),INDEX(Calc!BS$50:BS$64,Calc!$D$6))))</f>
        <v/>
      </c>
      <c r="I29" s="20">
        <f>IF(J29="","",N(J28)*(1+Start!$E$15/12)-J29)</f>
        <v/>
      </c>
      <c r="J29" s="20">
        <f>IF(OR(OR(Calc!$B$4=0,$B29&gt;IF(Start!$D$10="Avalanche",Calc!$B$3,Calc!$B$2)),Calc!$B$7=0),"",IF(N(J28)&lt;=0.005,"",IF(Start!$D$10="Avalanche",INDEX(Calc!BS$75:BS$89,Calc!$F$7),INDEX(Calc!BS$50:BS$64,Calc!$D$7))))</f>
        <v/>
      </c>
      <c r="K29" s="20">
        <f>IF(L29="","",N(L28)*(1+Start!$E$16/12)-L29)</f>
        <v/>
      </c>
      <c r="L29" s="20">
        <f>IF(OR(OR(Calc!$B$4=0,$B29&gt;IF(Start!$D$10="Avalanche",Calc!$B$3,Calc!$B$2)),Calc!$B$8=0),"",IF(N(L28)&lt;=0.005,"",IF(Start!$D$10="Avalanche",INDEX(Calc!BS$75:BS$89,Calc!$F$8),INDEX(Calc!BS$50:BS$64,Calc!$D$8))))</f>
        <v/>
      </c>
      <c r="M29" s="20">
        <f>IF(N29="","",N(N28)*(1+Start!$E$17/12)-N29)</f>
        <v/>
      </c>
      <c r="N29" s="20">
        <f>IF(OR(OR(Calc!$B$4=0,$B29&gt;IF(Start!$D$10="Avalanche",Calc!$B$3,Calc!$B$2)),Calc!$B$9=0),"",IF(N(N28)&lt;=0.005,"",IF(Start!$D$10="Avalanche",INDEX(Calc!BS$75:BS$89,Calc!$F$9),INDEX(Calc!BS$50:BS$64,Calc!$D$9))))</f>
        <v/>
      </c>
      <c r="O29" s="20">
        <f>IF(P29="","",N(P28)*(1+Start!$E$18/12)-P29)</f>
        <v/>
      </c>
      <c r="P29" s="20">
        <f>IF(OR(OR(Calc!$B$4=0,$B29&gt;IF(Start!$D$10="Avalanche",Calc!$B$3,Calc!$B$2)),Calc!$B$10=0),"",IF(N(P28)&lt;=0.005,"",IF(Start!$D$10="Avalanche",INDEX(Calc!BS$75:BS$89,Calc!$F$10),INDEX(Calc!BS$50:BS$64,Calc!$D$10))))</f>
        <v/>
      </c>
      <c r="Q29" s="20">
        <f>IF(R29="","",N(R28)*(1+Start!$E$19/12)-R29)</f>
        <v/>
      </c>
      <c r="R29" s="20">
        <f>IF(OR(OR(Calc!$B$4=0,$B29&gt;IF(Start!$D$10="Avalanche",Calc!$B$3,Calc!$B$2)),Calc!$B$11=0),"",IF(N(R28)&lt;=0.005,"",IF(Start!$D$10="Avalanche",INDEX(Calc!BS$75:BS$89,Calc!$F$11),INDEX(Calc!BS$50:BS$64,Calc!$D$11))))</f>
        <v/>
      </c>
      <c r="S29" s="20">
        <f>IF(T29="","",N(T28)*(1+Start!$E$20/12)-T29)</f>
        <v/>
      </c>
      <c r="T29" s="20">
        <f>IF(OR(OR(Calc!$B$4=0,$B29&gt;IF(Start!$D$10="Avalanche",Calc!$B$3,Calc!$B$2)),Calc!$B$12=0),"",IF(N(T28)&lt;=0.005,"",IF(Start!$D$10="Avalanche",INDEX(Calc!BS$75:BS$89,Calc!$F$12),INDEX(Calc!BS$50:BS$64,Calc!$D$12))))</f>
        <v/>
      </c>
      <c r="U29" s="20">
        <f>IF(V29="","",N(V28)*(1+Start!$E$21/12)-V29)</f>
        <v/>
      </c>
      <c r="V29" s="20">
        <f>IF(OR(OR(Calc!$B$4=0,$B29&gt;IF(Start!$D$10="Avalanche",Calc!$B$3,Calc!$B$2)),Calc!$B$13=0),"",IF(N(V28)&lt;=0.005,"",IF(Start!$D$10="Avalanche",INDEX(Calc!BS$75:BS$89,Calc!$F$13),INDEX(Calc!BS$50:BS$64,Calc!$D$13))))</f>
        <v/>
      </c>
      <c r="W29" s="20">
        <f>IF(X29="","",N(X28)*(1+Start!$E$22/12)-X29)</f>
        <v/>
      </c>
      <c r="X29" s="20">
        <f>IF(OR(OR(Calc!$B$4=0,$B29&gt;IF(Start!$D$10="Avalanche",Calc!$B$3,Calc!$B$2)),Calc!$B$14=0),"",IF(N(X28)&lt;=0.005,"",IF(Start!$D$10="Avalanche",INDEX(Calc!BS$75:BS$89,Calc!$F$14),INDEX(Calc!BS$50:BS$64,Calc!$D$14))))</f>
        <v/>
      </c>
      <c r="Y29" s="20">
        <f>IF(Z29="","",N(Z28)*(1+Start!$E$23/12)-Z29)</f>
        <v/>
      </c>
      <c r="Z29" s="20">
        <f>IF(OR(OR(Calc!$B$4=0,$B29&gt;IF(Start!$D$10="Avalanche",Calc!$B$3,Calc!$B$2)),Calc!$B$15=0),"",IF(N(Z28)&lt;=0.005,"",IF(Start!$D$10="Avalanche",INDEX(Calc!BS$75:BS$89,Calc!$F$15),INDEX(Calc!BS$50:BS$64,Calc!$D$15))))</f>
        <v/>
      </c>
      <c r="AA29" s="20">
        <f>IF(AB29="","",N(AB28)*(1+Start!$E$24/12)-AB29)</f>
        <v/>
      </c>
      <c r="AB29" s="20">
        <f>IF(OR(OR(Calc!$B$4=0,$B29&gt;IF(Start!$D$10="Avalanche",Calc!$B$3,Calc!$B$2)),Calc!$B$16=0),"",IF(N(AB28)&lt;=0.005,"",IF(Start!$D$10="Avalanche",INDEX(Calc!BS$75:BS$89,Calc!$F$16),INDEX(Calc!BS$50:BS$64,Calc!$D$16))))</f>
        <v/>
      </c>
      <c r="AC29" s="20">
        <f>IF(AD29="","",N(AD28)*(1+Start!$E$25/12)-AD29)</f>
        <v/>
      </c>
      <c r="AD29" s="20">
        <f>IF(OR(OR(Calc!$B$4=0,$B29&gt;IF(Start!$D$10="Avalanche",Calc!$B$3,Calc!$B$2)),Calc!$B$17=0),"",IF(N(AD28)&lt;=0.005,"",IF(Start!$D$10="Avalanche",INDEX(Calc!BS$75:BS$89,Calc!$F$17),INDEX(Calc!BS$50:BS$64,Calc!$D$17))))</f>
        <v/>
      </c>
      <c r="AE29" s="20">
        <f>IF(AF29="","",N(AF28)*(1+Start!$E$26/12)-AF29)</f>
        <v/>
      </c>
      <c r="AF29" s="20">
        <f>IF(OR(OR(Calc!$B$4=0,$B29&gt;IF(Start!$D$10="Avalanche",Calc!$B$3,Calc!$B$2)),Calc!$B$18=0),"",IF(N(AF28)&lt;=0.005,"",IF(Start!$D$10="Avalanche",INDEX(Calc!BS$75:BS$89,Calc!$F$18),INDEX(Calc!BS$50:BS$64,Calc!$D$18))))</f>
        <v/>
      </c>
      <c r="AG29" s="20">
        <f>IF(AH29="","",N(AH28)*(1+Start!$E$27/12)-AH29)</f>
        <v/>
      </c>
      <c r="AH29" s="20">
        <f>IF(OR(OR(Calc!$B$4=0,$B29&gt;IF(Start!$D$10="Avalanche",Calc!$B$3,Calc!$B$2)),Calc!$B$19=0),"",IF(N(AH28)&lt;=0.005,"",IF(Start!$D$10="Avalanche",INDEX(Calc!BS$75:BS$89,Calc!$F$19),INDEX(Calc!BS$50:BS$64,Calc!$D$19))))</f>
        <v/>
      </c>
      <c r="AI29" s="20">
        <f>IF(AJ29="","",N(AJ28)*(1+Start!$E$28/12)-AJ29)</f>
        <v/>
      </c>
      <c r="AJ29" s="20">
        <f>IF(OR(OR(Calc!$B$4=0,$B29&gt;IF(Start!$D$10="Avalanche",Calc!$B$3,Calc!$B$2)),Calc!$B$20=0),"",IF(N(AJ28)&lt;=0.005,"",IF(Start!$D$10="Avalanche",INDEX(Calc!BS$75:BS$89,Calc!$F$20),INDEX(Calc!BS$50:BS$64,Calc!$D$20))))</f>
        <v/>
      </c>
    </row>
    <row r="30">
      <c r="B30" s="17" t="n">
        <v>24</v>
      </c>
      <c r="C30" s="19">
        <f>IF(Calc!$B$4=0,"",EDATE(Start!$D$11,23))</f>
        <v/>
      </c>
      <c r="D30" s="20">
        <f>IF(OR(Calc!$B$4=0,$B30&gt;IF(Start!$D$10="Avalanche",Calc!$B$3,Calc!$B$2)),"",SUM(G30,I30,K30,M30,O30,Q30,S30,U30,W30,Y30,AA30,AC30,AE30,AG30,AI30))</f>
        <v/>
      </c>
      <c r="E30" s="20">
        <f>IF(OR(Calc!$B$4=0,$B30&gt;IF(Start!$D$10="Avalanche",Calc!$B$3,Calc!$B$2)),"",IF(Start!$D$10="Avalanche",Calc!BT$72,Calc!BT$47))</f>
        <v/>
      </c>
      <c r="F30" s="21">
        <f>IF(Calc!$B$4=0,"",IF($B30&gt;IF(Start!$D$10="Avalanche",Calc!$B$3,Calc!$B$2),NA(),SUM(H30,J30,L30,N30,P30,R30,T30,V30,X30,Z30,AB30,AD30,AF30,AH30,AJ30)))</f>
        <v/>
      </c>
      <c r="G30" s="20">
        <f>IF(H30="","",N(H29)*(1+Start!$E$14/12)-H30)</f>
        <v/>
      </c>
      <c r="H30" s="20">
        <f>IF(OR(OR(Calc!$B$4=0,$B30&gt;IF(Start!$D$10="Avalanche",Calc!$B$3,Calc!$B$2)),Calc!$B$6=0),"",IF(N(H29)&lt;=0.005,"",IF(Start!$D$10="Avalanche",INDEX(Calc!BV$75:BV$89,Calc!$F$6),INDEX(Calc!BV$50:BV$64,Calc!$D$6))))</f>
        <v/>
      </c>
      <c r="I30" s="20">
        <f>IF(J30="","",N(J29)*(1+Start!$E$15/12)-J30)</f>
        <v/>
      </c>
      <c r="J30" s="20">
        <f>IF(OR(OR(Calc!$B$4=0,$B30&gt;IF(Start!$D$10="Avalanche",Calc!$B$3,Calc!$B$2)),Calc!$B$7=0),"",IF(N(J29)&lt;=0.005,"",IF(Start!$D$10="Avalanche",INDEX(Calc!BV$75:BV$89,Calc!$F$7),INDEX(Calc!BV$50:BV$64,Calc!$D$7))))</f>
        <v/>
      </c>
      <c r="K30" s="20">
        <f>IF(L30="","",N(L29)*(1+Start!$E$16/12)-L30)</f>
        <v/>
      </c>
      <c r="L30" s="20">
        <f>IF(OR(OR(Calc!$B$4=0,$B30&gt;IF(Start!$D$10="Avalanche",Calc!$B$3,Calc!$B$2)),Calc!$B$8=0),"",IF(N(L29)&lt;=0.005,"",IF(Start!$D$10="Avalanche",INDEX(Calc!BV$75:BV$89,Calc!$F$8),INDEX(Calc!BV$50:BV$64,Calc!$D$8))))</f>
        <v/>
      </c>
      <c r="M30" s="20">
        <f>IF(N30="","",N(N29)*(1+Start!$E$17/12)-N30)</f>
        <v/>
      </c>
      <c r="N30" s="20">
        <f>IF(OR(OR(Calc!$B$4=0,$B30&gt;IF(Start!$D$10="Avalanche",Calc!$B$3,Calc!$B$2)),Calc!$B$9=0),"",IF(N(N29)&lt;=0.005,"",IF(Start!$D$10="Avalanche",INDEX(Calc!BV$75:BV$89,Calc!$F$9),INDEX(Calc!BV$50:BV$64,Calc!$D$9))))</f>
        <v/>
      </c>
      <c r="O30" s="20">
        <f>IF(P30="","",N(P29)*(1+Start!$E$18/12)-P30)</f>
        <v/>
      </c>
      <c r="P30" s="20">
        <f>IF(OR(OR(Calc!$B$4=0,$B30&gt;IF(Start!$D$10="Avalanche",Calc!$B$3,Calc!$B$2)),Calc!$B$10=0),"",IF(N(P29)&lt;=0.005,"",IF(Start!$D$10="Avalanche",INDEX(Calc!BV$75:BV$89,Calc!$F$10),INDEX(Calc!BV$50:BV$64,Calc!$D$10))))</f>
        <v/>
      </c>
      <c r="Q30" s="20">
        <f>IF(R30="","",N(R29)*(1+Start!$E$19/12)-R30)</f>
        <v/>
      </c>
      <c r="R30" s="20">
        <f>IF(OR(OR(Calc!$B$4=0,$B30&gt;IF(Start!$D$10="Avalanche",Calc!$B$3,Calc!$B$2)),Calc!$B$11=0),"",IF(N(R29)&lt;=0.005,"",IF(Start!$D$10="Avalanche",INDEX(Calc!BV$75:BV$89,Calc!$F$11),INDEX(Calc!BV$50:BV$64,Calc!$D$11))))</f>
        <v/>
      </c>
      <c r="S30" s="20">
        <f>IF(T30="","",N(T29)*(1+Start!$E$20/12)-T30)</f>
        <v/>
      </c>
      <c r="T30" s="20">
        <f>IF(OR(OR(Calc!$B$4=0,$B30&gt;IF(Start!$D$10="Avalanche",Calc!$B$3,Calc!$B$2)),Calc!$B$12=0),"",IF(N(T29)&lt;=0.005,"",IF(Start!$D$10="Avalanche",INDEX(Calc!BV$75:BV$89,Calc!$F$12),INDEX(Calc!BV$50:BV$64,Calc!$D$12))))</f>
        <v/>
      </c>
      <c r="U30" s="20">
        <f>IF(V30="","",N(V29)*(1+Start!$E$21/12)-V30)</f>
        <v/>
      </c>
      <c r="V30" s="20">
        <f>IF(OR(OR(Calc!$B$4=0,$B30&gt;IF(Start!$D$10="Avalanche",Calc!$B$3,Calc!$B$2)),Calc!$B$13=0),"",IF(N(V29)&lt;=0.005,"",IF(Start!$D$10="Avalanche",INDEX(Calc!BV$75:BV$89,Calc!$F$13),INDEX(Calc!BV$50:BV$64,Calc!$D$13))))</f>
        <v/>
      </c>
      <c r="W30" s="20">
        <f>IF(X30="","",N(X29)*(1+Start!$E$22/12)-X30)</f>
        <v/>
      </c>
      <c r="X30" s="20">
        <f>IF(OR(OR(Calc!$B$4=0,$B30&gt;IF(Start!$D$10="Avalanche",Calc!$B$3,Calc!$B$2)),Calc!$B$14=0),"",IF(N(X29)&lt;=0.005,"",IF(Start!$D$10="Avalanche",INDEX(Calc!BV$75:BV$89,Calc!$F$14),INDEX(Calc!BV$50:BV$64,Calc!$D$14))))</f>
        <v/>
      </c>
      <c r="Y30" s="20">
        <f>IF(Z30="","",N(Z29)*(1+Start!$E$23/12)-Z30)</f>
        <v/>
      </c>
      <c r="Z30" s="20">
        <f>IF(OR(OR(Calc!$B$4=0,$B30&gt;IF(Start!$D$10="Avalanche",Calc!$B$3,Calc!$B$2)),Calc!$B$15=0),"",IF(N(Z29)&lt;=0.005,"",IF(Start!$D$10="Avalanche",INDEX(Calc!BV$75:BV$89,Calc!$F$15),INDEX(Calc!BV$50:BV$64,Calc!$D$15))))</f>
        <v/>
      </c>
      <c r="AA30" s="20">
        <f>IF(AB30="","",N(AB29)*(1+Start!$E$24/12)-AB30)</f>
        <v/>
      </c>
      <c r="AB30" s="20">
        <f>IF(OR(OR(Calc!$B$4=0,$B30&gt;IF(Start!$D$10="Avalanche",Calc!$B$3,Calc!$B$2)),Calc!$B$16=0),"",IF(N(AB29)&lt;=0.005,"",IF(Start!$D$10="Avalanche",INDEX(Calc!BV$75:BV$89,Calc!$F$16),INDEX(Calc!BV$50:BV$64,Calc!$D$16))))</f>
        <v/>
      </c>
      <c r="AC30" s="20">
        <f>IF(AD30="","",N(AD29)*(1+Start!$E$25/12)-AD30)</f>
        <v/>
      </c>
      <c r="AD30" s="20">
        <f>IF(OR(OR(Calc!$B$4=0,$B30&gt;IF(Start!$D$10="Avalanche",Calc!$B$3,Calc!$B$2)),Calc!$B$17=0),"",IF(N(AD29)&lt;=0.005,"",IF(Start!$D$10="Avalanche",INDEX(Calc!BV$75:BV$89,Calc!$F$17),INDEX(Calc!BV$50:BV$64,Calc!$D$17))))</f>
        <v/>
      </c>
      <c r="AE30" s="20">
        <f>IF(AF30="","",N(AF29)*(1+Start!$E$26/12)-AF30)</f>
        <v/>
      </c>
      <c r="AF30" s="20">
        <f>IF(OR(OR(Calc!$B$4=0,$B30&gt;IF(Start!$D$10="Avalanche",Calc!$B$3,Calc!$B$2)),Calc!$B$18=0),"",IF(N(AF29)&lt;=0.005,"",IF(Start!$D$10="Avalanche",INDEX(Calc!BV$75:BV$89,Calc!$F$18),INDEX(Calc!BV$50:BV$64,Calc!$D$18))))</f>
        <v/>
      </c>
      <c r="AG30" s="20">
        <f>IF(AH30="","",N(AH29)*(1+Start!$E$27/12)-AH30)</f>
        <v/>
      </c>
      <c r="AH30" s="20">
        <f>IF(OR(OR(Calc!$B$4=0,$B30&gt;IF(Start!$D$10="Avalanche",Calc!$B$3,Calc!$B$2)),Calc!$B$19=0),"",IF(N(AH29)&lt;=0.005,"",IF(Start!$D$10="Avalanche",INDEX(Calc!BV$75:BV$89,Calc!$F$19),INDEX(Calc!BV$50:BV$64,Calc!$D$19))))</f>
        <v/>
      </c>
      <c r="AI30" s="20">
        <f>IF(AJ30="","",N(AJ29)*(1+Start!$E$28/12)-AJ30)</f>
        <v/>
      </c>
      <c r="AJ30" s="20">
        <f>IF(OR(OR(Calc!$B$4=0,$B30&gt;IF(Start!$D$10="Avalanche",Calc!$B$3,Calc!$B$2)),Calc!$B$20=0),"",IF(N(AJ29)&lt;=0.005,"",IF(Start!$D$10="Avalanche",INDEX(Calc!BV$75:BV$89,Calc!$F$20),INDEX(Calc!BV$50:BV$64,Calc!$D$20))))</f>
        <v/>
      </c>
    </row>
    <row r="31">
      <c r="B31" s="17" t="n">
        <v>25</v>
      </c>
      <c r="C31" s="19">
        <f>IF(Calc!$B$4=0,"",EDATE(Start!$D$11,24))</f>
        <v/>
      </c>
      <c r="D31" s="20">
        <f>IF(OR(Calc!$B$4=0,$B31&gt;IF(Start!$D$10="Avalanche",Calc!$B$3,Calc!$B$2)),"",SUM(G31,I31,K31,M31,O31,Q31,S31,U31,W31,Y31,AA31,AC31,AE31,AG31,AI31))</f>
        <v/>
      </c>
      <c r="E31" s="20">
        <f>IF(OR(Calc!$B$4=0,$B31&gt;IF(Start!$D$10="Avalanche",Calc!$B$3,Calc!$B$2)),"",IF(Start!$D$10="Avalanche",Calc!BW$72,Calc!BW$47))</f>
        <v/>
      </c>
      <c r="F31" s="21">
        <f>IF(Calc!$B$4=0,"",IF($B31&gt;IF(Start!$D$10="Avalanche",Calc!$B$3,Calc!$B$2),NA(),SUM(H31,J31,L31,N31,P31,R31,T31,V31,X31,Z31,AB31,AD31,AF31,AH31,AJ31)))</f>
        <v/>
      </c>
      <c r="G31" s="20">
        <f>IF(H31="","",N(H30)*(1+Start!$E$14/12)-H31)</f>
        <v/>
      </c>
      <c r="H31" s="20">
        <f>IF(OR(OR(Calc!$B$4=0,$B31&gt;IF(Start!$D$10="Avalanche",Calc!$B$3,Calc!$B$2)),Calc!$B$6=0),"",IF(N(H30)&lt;=0.005,"",IF(Start!$D$10="Avalanche",INDEX(Calc!BY$75:BY$89,Calc!$F$6),INDEX(Calc!BY$50:BY$64,Calc!$D$6))))</f>
        <v/>
      </c>
      <c r="I31" s="20">
        <f>IF(J31="","",N(J30)*(1+Start!$E$15/12)-J31)</f>
        <v/>
      </c>
      <c r="J31" s="20">
        <f>IF(OR(OR(Calc!$B$4=0,$B31&gt;IF(Start!$D$10="Avalanche",Calc!$B$3,Calc!$B$2)),Calc!$B$7=0),"",IF(N(J30)&lt;=0.005,"",IF(Start!$D$10="Avalanche",INDEX(Calc!BY$75:BY$89,Calc!$F$7),INDEX(Calc!BY$50:BY$64,Calc!$D$7))))</f>
        <v/>
      </c>
      <c r="K31" s="20">
        <f>IF(L31="","",N(L30)*(1+Start!$E$16/12)-L31)</f>
        <v/>
      </c>
      <c r="L31" s="20">
        <f>IF(OR(OR(Calc!$B$4=0,$B31&gt;IF(Start!$D$10="Avalanche",Calc!$B$3,Calc!$B$2)),Calc!$B$8=0),"",IF(N(L30)&lt;=0.005,"",IF(Start!$D$10="Avalanche",INDEX(Calc!BY$75:BY$89,Calc!$F$8),INDEX(Calc!BY$50:BY$64,Calc!$D$8))))</f>
        <v/>
      </c>
      <c r="M31" s="20">
        <f>IF(N31="","",N(N30)*(1+Start!$E$17/12)-N31)</f>
        <v/>
      </c>
      <c r="N31" s="20">
        <f>IF(OR(OR(Calc!$B$4=0,$B31&gt;IF(Start!$D$10="Avalanche",Calc!$B$3,Calc!$B$2)),Calc!$B$9=0),"",IF(N(N30)&lt;=0.005,"",IF(Start!$D$10="Avalanche",INDEX(Calc!BY$75:BY$89,Calc!$F$9),INDEX(Calc!BY$50:BY$64,Calc!$D$9))))</f>
        <v/>
      </c>
      <c r="O31" s="20">
        <f>IF(P31="","",N(P30)*(1+Start!$E$18/12)-P31)</f>
        <v/>
      </c>
      <c r="P31" s="20">
        <f>IF(OR(OR(Calc!$B$4=0,$B31&gt;IF(Start!$D$10="Avalanche",Calc!$B$3,Calc!$B$2)),Calc!$B$10=0),"",IF(N(P30)&lt;=0.005,"",IF(Start!$D$10="Avalanche",INDEX(Calc!BY$75:BY$89,Calc!$F$10),INDEX(Calc!BY$50:BY$64,Calc!$D$10))))</f>
        <v/>
      </c>
      <c r="Q31" s="20">
        <f>IF(R31="","",N(R30)*(1+Start!$E$19/12)-R31)</f>
        <v/>
      </c>
      <c r="R31" s="20">
        <f>IF(OR(OR(Calc!$B$4=0,$B31&gt;IF(Start!$D$10="Avalanche",Calc!$B$3,Calc!$B$2)),Calc!$B$11=0),"",IF(N(R30)&lt;=0.005,"",IF(Start!$D$10="Avalanche",INDEX(Calc!BY$75:BY$89,Calc!$F$11),INDEX(Calc!BY$50:BY$64,Calc!$D$11))))</f>
        <v/>
      </c>
      <c r="S31" s="20">
        <f>IF(T31="","",N(T30)*(1+Start!$E$20/12)-T31)</f>
        <v/>
      </c>
      <c r="T31" s="20">
        <f>IF(OR(OR(Calc!$B$4=0,$B31&gt;IF(Start!$D$10="Avalanche",Calc!$B$3,Calc!$B$2)),Calc!$B$12=0),"",IF(N(T30)&lt;=0.005,"",IF(Start!$D$10="Avalanche",INDEX(Calc!BY$75:BY$89,Calc!$F$12),INDEX(Calc!BY$50:BY$64,Calc!$D$12))))</f>
        <v/>
      </c>
      <c r="U31" s="20">
        <f>IF(V31="","",N(V30)*(1+Start!$E$21/12)-V31)</f>
        <v/>
      </c>
      <c r="V31" s="20">
        <f>IF(OR(OR(Calc!$B$4=0,$B31&gt;IF(Start!$D$10="Avalanche",Calc!$B$3,Calc!$B$2)),Calc!$B$13=0),"",IF(N(V30)&lt;=0.005,"",IF(Start!$D$10="Avalanche",INDEX(Calc!BY$75:BY$89,Calc!$F$13),INDEX(Calc!BY$50:BY$64,Calc!$D$13))))</f>
        <v/>
      </c>
      <c r="W31" s="20">
        <f>IF(X31="","",N(X30)*(1+Start!$E$22/12)-X31)</f>
        <v/>
      </c>
      <c r="X31" s="20">
        <f>IF(OR(OR(Calc!$B$4=0,$B31&gt;IF(Start!$D$10="Avalanche",Calc!$B$3,Calc!$B$2)),Calc!$B$14=0),"",IF(N(X30)&lt;=0.005,"",IF(Start!$D$10="Avalanche",INDEX(Calc!BY$75:BY$89,Calc!$F$14),INDEX(Calc!BY$50:BY$64,Calc!$D$14))))</f>
        <v/>
      </c>
      <c r="Y31" s="20">
        <f>IF(Z31="","",N(Z30)*(1+Start!$E$23/12)-Z31)</f>
        <v/>
      </c>
      <c r="Z31" s="20">
        <f>IF(OR(OR(Calc!$B$4=0,$B31&gt;IF(Start!$D$10="Avalanche",Calc!$B$3,Calc!$B$2)),Calc!$B$15=0),"",IF(N(Z30)&lt;=0.005,"",IF(Start!$D$10="Avalanche",INDEX(Calc!BY$75:BY$89,Calc!$F$15),INDEX(Calc!BY$50:BY$64,Calc!$D$15))))</f>
        <v/>
      </c>
      <c r="AA31" s="20">
        <f>IF(AB31="","",N(AB30)*(1+Start!$E$24/12)-AB31)</f>
        <v/>
      </c>
      <c r="AB31" s="20">
        <f>IF(OR(OR(Calc!$B$4=0,$B31&gt;IF(Start!$D$10="Avalanche",Calc!$B$3,Calc!$B$2)),Calc!$B$16=0),"",IF(N(AB30)&lt;=0.005,"",IF(Start!$D$10="Avalanche",INDEX(Calc!BY$75:BY$89,Calc!$F$16),INDEX(Calc!BY$50:BY$64,Calc!$D$16))))</f>
        <v/>
      </c>
      <c r="AC31" s="20">
        <f>IF(AD31="","",N(AD30)*(1+Start!$E$25/12)-AD31)</f>
        <v/>
      </c>
      <c r="AD31" s="20">
        <f>IF(OR(OR(Calc!$B$4=0,$B31&gt;IF(Start!$D$10="Avalanche",Calc!$B$3,Calc!$B$2)),Calc!$B$17=0),"",IF(N(AD30)&lt;=0.005,"",IF(Start!$D$10="Avalanche",INDEX(Calc!BY$75:BY$89,Calc!$F$17),INDEX(Calc!BY$50:BY$64,Calc!$D$17))))</f>
        <v/>
      </c>
      <c r="AE31" s="20">
        <f>IF(AF31="","",N(AF30)*(1+Start!$E$26/12)-AF31)</f>
        <v/>
      </c>
      <c r="AF31" s="20">
        <f>IF(OR(OR(Calc!$B$4=0,$B31&gt;IF(Start!$D$10="Avalanche",Calc!$B$3,Calc!$B$2)),Calc!$B$18=0),"",IF(N(AF30)&lt;=0.005,"",IF(Start!$D$10="Avalanche",INDEX(Calc!BY$75:BY$89,Calc!$F$18),INDEX(Calc!BY$50:BY$64,Calc!$D$18))))</f>
        <v/>
      </c>
      <c r="AG31" s="20">
        <f>IF(AH31="","",N(AH30)*(1+Start!$E$27/12)-AH31)</f>
        <v/>
      </c>
      <c r="AH31" s="20">
        <f>IF(OR(OR(Calc!$B$4=0,$B31&gt;IF(Start!$D$10="Avalanche",Calc!$B$3,Calc!$B$2)),Calc!$B$19=0),"",IF(N(AH30)&lt;=0.005,"",IF(Start!$D$10="Avalanche",INDEX(Calc!BY$75:BY$89,Calc!$F$19),INDEX(Calc!BY$50:BY$64,Calc!$D$19))))</f>
        <v/>
      </c>
      <c r="AI31" s="20">
        <f>IF(AJ31="","",N(AJ30)*(1+Start!$E$28/12)-AJ31)</f>
        <v/>
      </c>
      <c r="AJ31" s="20">
        <f>IF(OR(OR(Calc!$B$4=0,$B31&gt;IF(Start!$D$10="Avalanche",Calc!$B$3,Calc!$B$2)),Calc!$B$20=0),"",IF(N(AJ30)&lt;=0.005,"",IF(Start!$D$10="Avalanche",INDEX(Calc!BY$75:BY$89,Calc!$F$20),INDEX(Calc!BY$50:BY$64,Calc!$D$20))))</f>
        <v/>
      </c>
    </row>
    <row r="32">
      <c r="B32" s="17" t="n">
        <v>26</v>
      </c>
      <c r="C32" s="19">
        <f>IF(Calc!$B$4=0,"",EDATE(Start!$D$11,25))</f>
        <v/>
      </c>
      <c r="D32" s="20">
        <f>IF(OR(Calc!$B$4=0,$B32&gt;IF(Start!$D$10="Avalanche",Calc!$B$3,Calc!$B$2)),"",SUM(G32,I32,K32,M32,O32,Q32,S32,U32,W32,Y32,AA32,AC32,AE32,AG32,AI32))</f>
        <v/>
      </c>
      <c r="E32" s="20">
        <f>IF(OR(Calc!$B$4=0,$B32&gt;IF(Start!$D$10="Avalanche",Calc!$B$3,Calc!$B$2)),"",IF(Start!$D$10="Avalanche",Calc!BZ$72,Calc!BZ$47))</f>
        <v/>
      </c>
      <c r="F32" s="21">
        <f>IF(Calc!$B$4=0,"",IF($B32&gt;IF(Start!$D$10="Avalanche",Calc!$B$3,Calc!$B$2),NA(),SUM(H32,J32,L32,N32,P32,R32,T32,V32,X32,Z32,AB32,AD32,AF32,AH32,AJ32)))</f>
        <v/>
      </c>
      <c r="G32" s="20">
        <f>IF(H32="","",N(H31)*(1+Start!$E$14/12)-H32)</f>
        <v/>
      </c>
      <c r="H32" s="20">
        <f>IF(OR(OR(Calc!$B$4=0,$B32&gt;IF(Start!$D$10="Avalanche",Calc!$B$3,Calc!$B$2)),Calc!$B$6=0),"",IF(N(H31)&lt;=0.005,"",IF(Start!$D$10="Avalanche",INDEX(Calc!CB$75:CB$89,Calc!$F$6),INDEX(Calc!CB$50:CB$64,Calc!$D$6))))</f>
        <v/>
      </c>
      <c r="I32" s="20">
        <f>IF(J32="","",N(J31)*(1+Start!$E$15/12)-J32)</f>
        <v/>
      </c>
      <c r="J32" s="20">
        <f>IF(OR(OR(Calc!$B$4=0,$B32&gt;IF(Start!$D$10="Avalanche",Calc!$B$3,Calc!$B$2)),Calc!$B$7=0),"",IF(N(J31)&lt;=0.005,"",IF(Start!$D$10="Avalanche",INDEX(Calc!CB$75:CB$89,Calc!$F$7),INDEX(Calc!CB$50:CB$64,Calc!$D$7))))</f>
        <v/>
      </c>
      <c r="K32" s="20">
        <f>IF(L32="","",N(L31)*(1+Start!$E$16/12)-L32)</f>
        <v/>
      </c>
      <c r="L32" s="20">
        <f>IF(OR(OR(Calc!$B$4=0,$B32&gt;IF(Start!$D$10="Avalanche",Calc!$B$3,Calc!$B$2)),Calc!$B$8=0),"",IF(N(L31)&lt;=0.005,"",IF(Start!$D$10="Avalanche",INDEX(Calc!CB$75:CB$89,Calc!$F$8),INDEX(Calc!CB$50:CB$64,Calc!$D$8))))</f>
        <v/>
      </c>
      <c r="M32" s="20">
        <f>IF(N32="","",N(N31)*(1+Start!$E$17/12)-N32)</f>
        <v/>
      </c>
      <c r="N32" s="20">
        <f>IF(OR(OR(Calc!$B$4=0,$B32&gt;IF(Start!$D$10="Avalanche",Calc!$B$3,Calc!$B$2)),Calc!$B$9=0),"",IF(N(N31)&lt;=0.005,"",IF(Start!$D$10="Avalanche",INDEX(Calc!CB$75:CB$89,Calc!$F$9),INDEX(Calc!CB$50:CB$64,Calc!$D$9))))</f>
        <v/>
      </c>
      <c r="O32" s="20">
        <f>IF(P32="","",N(P31)*(1+Start!$E$18/12)-P32)</f>
        <v/>
      </c>
      <c r="P32" s="20">
        <f>IF(OR(OR(Calc!$B$4=0,$B32&gt;IF(Start!$D$10="Avalanche",Calc!$B$3,Calc!$B$2)),Calc!$B$10=0),"",IF(N(P31)&lt;=0.005,"",IF(Start!$D$10="Avalanche",INDEX(Calc!CB$75:CB$89,Calc!$F$10),INDEX(Calc!CB$50:CB$64,Calc!$D$10))))</f>
        <v/>
      </c>
      <c r="Q32" s="20">
        <f>IF(R32="","",N(R31)*(1+Start!$E$19/12)-R32)</f>
        <v/>
      </c>
      <c r="R32" s="20">
        <f>IF(OR(OR(Calc!$B$4=0,$B32&gt;IF(Start!$D$10="Avalanche",Calc!$B$3,Calc!$B$2)),Calc!$B$11=0),"",IF(N(R31)&lt;=0.005,"",IF(Start!$D$10="Avalanche",INDEX(Calc!CB$75:CB$89,Calc!$F$11),INDEX(Calc!CB$50:CB$64,Calc!$D$11))))</f>
        <v/>
      </c>
      <c r="S32" s="20">
        <f>IF(T32="","",N(T31)*(1+Start!$E$20/12)-T32)</f>
        <v/>
      </c>
      <c r="T32" s="20">
        <f>IF(OR(OR(Calc!$B$4=0,$B32&gt;IF(Start!$D$10="Avalanche",Calc!$B$3,Calc!$B$2)),Calc!$B$12=0),"",IF(N(T31)&lt;=0.005,"",IF(Start!$D$10="Avalanche",INDEX(Calc!CB$75:CB$89,Calc!$F$12),INDEX(Calc!CB$50:CB$64,Calc!$D$12))))</f>
        <v/>
      </c>
      <c r="U32" s="20">
        <f>IF(V32="","",N(V31)*(1+Start!$E$21/12)-V32)</f>
        <v/>
      </c>
      <c r="V32" s="20">
        <f>IF(OR(OR(Calc!$B$4=0,$B32&gt;IF(Start!$D$10="Avalanche",Calc!$B$3,Calc!$B$2)),Calc!$B$13=0),"",IF(N(V31)&lt;=0.005,"",IF(Start!$D$10="Avalanche",INDEX(Calc!CB$75:CB$89,Calc!$F$13),INDEX(Calc!CB$50:CB$64,Calc!$D$13))))</f>
        <v/>
      </c>
      <c r="W32" s="20">
        <f>IF(X32="","",N(X31)*(1+Start!$E$22/12)-X32)</f>
        <v/>
      </c>
      <c r="X32" s="20">
        <f>IF(OR(OR(Calc!$B$4=0,$B32&gt;IF(Start!$D$10="Avalanche",Calc!$B$3,Calc!$B$2)),Calc!$B$14=0),"",IF(N(X31)&lt;=0.005,"",IF(Start!$D$10="Avalanche",INDEX(Calc!CB$75:CB$89,Calc!$F$14),INDEX(Calc!CB$50:CB$64,Calc!$D$14))))</f>
        <v/>
      </c>
      <c r="Y32" s="20">
        <f>IF(Z32="","",N(Z31)*(1+Start!$E$23/12)-Z32)</f>
        <v/>
      </c>
      <c r="Z32" s="20">
        <f>IF(OR(OR(Calc!$B$4=0,$B32&gt;IF(Start!$D$10="Avalanche",Calc!$B$3,Calc!$B$2)),Calc!$B$15=0),"",IF(N(Z31)&lt;=0.005,"",IF(Start!$D$10="Avalanche",INDEX(Calc!CB$75:CB$89,Calc!$F$15),INDEX(Calc!CB$50:CB$64,Calc!$D$15))))</f>
        <v/>
      </c>
      <c r="AA32" s="20">
        <f>IF(AB32="","",N(AB31)*(1+Start!$E$24/12)-AB32)</f>
        <v/>
      </c>
      <c r="AB32" s="20">
        <f>IF(OR(OR(Calc!$B$4=0,$B32&gt;IF(Start!$D$10="Avalanche",Calc!$B$3,Calc!$B$2)),Calc!$B$16=0),"",IF(N(AB31)&lt;=0.005,"",IF(Start!$D$10="Avalanche",INDEX(Calc!CB$75:CB$89,Calc!$F$16),INDEX(Calc!CB$50:CB$64,Calc!$D$16))))</f>
        <v/>
      </c>
      <c r="AC32" s="20">
        <f>IF(AD32="","",N(AD31)*(1+Start!$E$25/12)-AD32)</f>
        <v/>
      </c>
      <c r="AD32" s="20">
        <f>IF(OR(OR(Calc!$B$4=0,$B32&gt;IF(Start!$D$10="Avalanche",Calc!$B$3,Calc!$B$2)),Calc!$B$17=0),"",IF(N(AD31)&lt;=0.005,"",IF(Start!$D$10="Avalanche",INDEX(Calc!CB$75:CB$89,Calc!$F$17),INDEX(Calc!CB$50:CB$64,Calc!$D$17))))</f>
        <v/>
      </c>
      <c r="AE32" s="20">
        <f>IF(AF32="","",N(AF31)*(1+Start!$E$26/12)-AF32)</f>
        <v/>
      </c>
      <c r="AF32" s="20">
        <f>IF(OR(OR(Calc!$B$4=0,$B32&gt;IF(Start!$D$10="Avalanche",Calc!$B$3,Calc!$B$2)),Calc!$B$18=0),"",IF(N(AF31)&lt;=0.005,"",IF(Start!$D$10="Avalanche",INDEX(Calc!CB$75:CB$89,Calc!$F$18),INDEX(Calc!CB$50:CB$64,Calc!$D$18))))</f>
        <v/>
      </c>
      <c r="AG32" s="20">
        <f>IF(AH32="","",N(AH31)*(1+Start!$E$27/12)-AH32)</f>
        <v/>
      </c>
      <c r="AH32" s="20">
        <f>IF(OR(OR(Calc!$B$4=0,$B32&gt;IF(Start!$D$10="Avalanche",Calc!$B$3,Calc!$B$2)),Calc!$B$19=0),"",IF(N(AH31)&lt;=0.005,"",IF(Start!$D$10="Avalanche",INDEX(Calc!CB$75:CB$89,Calc!$F$19),INDEX(Calc!CB$50:CB$64,Calc!$D$19))))</f>
        <v/>
      </c>
      <c r="AI32" s="20">
        <f>IF(AJ32="","",N(AJ31)*(1+Start!$E$28/12)-AJ32)</f>
        <v/>
      </c>
      <c r="AJ32" s="20">
        <f>IF(OR(OR(Calc!$B$4=0,$B32&gt;IF(Start!$D$10="Avalanche",Calc!$B$3,Calc!$B$2)),Calc!$B$20=0),"",IF(N(AJ31)&lt;=0.005,"",IF(Start!$D$10="Avalanche",INDEX(Calc!CB$75:CB$89,Calc!$F$20),INDEX(Calc!CB$50:CB$64,Calc!$D$20))))</f>
        <v/>
      </c>
    </row>
    <row r="33">
      <c r="B33" s="17" t="n">
        <v>27</v>
      </c>
      <c r="C33" s="19">
        <f>IF(Calc!$B$4=0,"",EDATE(Start!$D$11,26))</f>
        <v/>
      </c>
      <c r="D33" s="20">
        <f>IF(OR(Calc!$B$4=0,$B33&gt;IF(Start!$D$10="Avalanche",Calc!$B$3,Calc!$B$2)),"",SUM(G33,I33,K33,M33,O33,Q33,S33,U33,W33,Y33,AA33,AC33,AE33,AG33,AI33))</f>
        <v/>
      </c>
      <c r="E33" s="20">
        <f>IF(OR(Calc!$B$4=0,$B33&gt;IF(Start!$D$10="Avalanche",Calc!$B$3,Calc!$B$2)),"",IF(Start!$D$10="Avalanche",Calc!CC$72,Calc!CC$47))</f>
        <v/>
      </c>
      <c r="F33" s="21">
        <f>IF(Calc!$B$4=0,"",IF($B33&gt;IF(Start!$D$10="Avalanche",Calc!$B$3,Calc!$B$2),NA(),SUM(H33,J33,L33,N33,P33,R33,T33,V33,X33,Z33,AB33,AD33,AF33,AH33,AJ33)))</f>
        <v/>
      </c>
      <c r="G33" s="20">
        <f>IF(H33="","",N(H32)*(1+Start!$E$14/12)-H33)</f>
        <v/>
      </c>
      <c r="H33" s="20">
        <f>IF(OR(OR(Calc!$B$4=0,$B33&gt;IF(Start!$D$10="Avalanche",Calc!$B$3,Calc!$B$2)),Calc!$B$6=0),"",IF(N(H32)&lt;=0.005,"",IF(Start!$D$10="Avalanche",INDEX(Calc!CE$75:CE$89,Calc!$F$6),INDEX(Calc!CE$50:CE$64,Calc!$D$6))))</f>
        <v/>
      </c>
      <c r="I33" s="20">
        <f>IF(J33="","",N(J32)*(1+Start!$E$15/12)-J33)</f>
        <v/>
      </c>
      <c r="J33" s="20">
        <f>IF(OR(OR(Calc!$B$4=0,$B33&gt;IF(Start!$D$10="Avalanche",Calc!$B$3,Calc!$B$2)),Calc!$B$7=0),"",IF(N(J32)&lt;=0.005,"",IF(Start!$D$10="Avalanche",INDEX(Calc!CE$75:CE$89,Calc!$F$7),INDEX(Calc!CE$50:CE$64,Calc!$D$7))))</f>
        <v/>
      </c>
      <c r="K33" s="20">
        <f>IF(L33="","",N(L32)*(1+Start!$E$16/12)-L33)</f>
        <v/>
      </c>
      <c r="L33" s="20">
        <f>IF(OR(OR(Calc!$B$4=0,$B33&gt;IF(Start!$D$10="Avalanche",Calc!$B$3,Calc!$B$2)),Calc!$B$8=0),"",IF(N(L32)&lt;=0.005,"",IF(Start!$D$10="Avalanche",INDEX(Calc!CE$75:CE$89,Calc!$F$8),INDEX(Calc!CE$50:CE$64,Calc!$D$8))))</f>
        <v/>
      </c>
      <c r="M33" s="20">
        <f>IF(N33="","",N(N32)*(1+Start!$E$17/12)-N33)</f>
        <v/>
      </c>
      <c r="N33" s="20">
        <f>IF(OR(OR(Calc!$B$4=0,$B33&gt;IF(Start!$D$10="Avalanche",Calc!$B$3,Calc!$B$2)),Calc!$B$9=0),"",IF(N(N32)&lt;=0.005,"",IF(Start!$D$10="Avalanche",INDEX(Calc!CE$75:CE$89,Calc!$F$9),INDEX(Calc!CE$50:CE$64,Calc!$D$9))))</f>
        <v/>
      </c>
      <c r="O33" s="20">
        <f>IF(P33="","",N(P32)*(1+Start!$E$18/12)-P33)</f>
        <v/>
      </c>
      <c r="P33" s="20">
        <f>IF(OR(OR(Calc!$B$4=0,$B33&gt;IF(Start!$D$10="Avalanche",Calc!$B$3,Calc!$B$2)),Calc!$B$10=0),"",IF(N(P32)&lt;=0.005,"",IF(Start!$D$10="Avalanche",INDEX(Calc!CE$75:CE$89,Calc!$F$10),INDEX(Calc!CE$50:CE$64,Calc!$D$10))))</f>
        <v/>
      </c>
      <c r="Q33" s="20">
        <f>IF(R33="","",N(R32)*(1+Start!$E$19/12)-R33)</f>
        <v/>
      </c>
      <c r="R33" s="20">
        <f>IF(OR(OR(Calc!$B$4=0,$B33&gt;IF(Start!$D$10="Avalanche",Calc!$B$3,Calc!$B$2)),Calc!$B$11=0),"",IF(N(R32)&lt;=0.005,"",IF(Start!$D$10="Avalanche",INDEX(Calc!CE$75:CE$89,Calc!$F$11),INDEX(Calc!CE$50:CE$64,Calc!$D$11))))</f>
        <v/>
      </c>
      <c r="S33" s="20">
        <f>IF(T33="","",N(T32)*(1+Start!$E$20/12)-T33)</f>
        <v/>
      </c>
      <c r="T33" s="20">
        <f>IF(OR(OR(Calc!$B$4=0,$B33&gt;IF(Start!$D$10="Avalanche",Calc!$B$3,Calc!$B$2)),Calc!$B$12=0),"",IF(N(T32)&lt;=0.005,"",IF(Start!$D$10="Avalanche",INDEX(Calc!CE$75:CE$89,Calc!$F$12),INDEX(Calc!CE$50:CE$64,Calc!$D$12))))</f>
        <v/>
      </c>
      <c r="U33" s="20">
        <f>IF(V33="","",N(V32)*(1+Start!$E$21/12)-V33)</f>
        <v/>
      </c>
      <c r="V33" s="20">
        <f>IF(OR(OR(Calc!$B$4=0,$B33&gt;IF(Start!$D$10="Avalanche",Calc!$B$3,Calc!$B$2)),Calc!$B$13=0),"",IF(N(V32)&lt;=0.005,"",IF(Start!$D$10="Avalanche",INDEX(Calc!CE$75:CE$89,Calc!$F$13),INDEX(Calc!CE$50:CE$64,Calc!$D$13))))</f>
        <v/>
      </c>
      <c r="W33" s="20">
        <f>IF(X33="","",N(X32)*(1+Start!$E$22/12)-X33)</f>
        <v/>
      </c>
      <c r="X33" s="20">
        <f>IF(OR(OR(Calc!$B$4=0,$B33&gt;IF(Start!$D$10="Avalanche",Calc!$B$3,Calc!$B$2)),Calc!$B$14=0),"",IF(N(X32)&lt;=0.005,"",IF(Start!$D$10="Avalanche",INDEX(Calc!CE$75:CE$89,Calc!$F$14),INDEX(Calc!CE$50:CE$64,Calc!$D$14))))</f>
        <v/>
      </c>
      <c r="Y33" s="20">
        <f>IF(Z33="","",N(Z32)*(1+Start!$E$23/12)-Z33)</f>
        <v/>
      </c>
      <c r="Z33" s="20">
        <f>IF(OR(OR(Calc!$B$4=0,$B33&gt;IF(Start!$D$10="Avalanche",Calc!$B$3,Calc!$B$2)),Calc!$B$15=0),"",IF(N(Z32)&lt;=0.005,"",IF(Start!$D$10="Avalanche",INDEX(Calc!CE$75:CE$89,Calc!$F$15),INDEX(Calc!CE$50:CE$64,Calc!$D$15))))</f>
        <v/>
      </c>
      <c r="AA33" s="20">
        <f>IF(AB33="","",N(AB32)*(1+Start!$E$24/12)-AB33)</f>
        <v/>
      </c>
      <c r="AB33" s="20">
        <f>IF(OR(OR(Calc!$B$4=0,$B33&gt;IF(Start!$D$10="Avalanche",Calc!$B$3,Calc!$B$2)),Calc!$B$16=0),"",IF(N(AB32)&lt;=0.005,"",IF(Start!$D$10="Avalanche",INDEX(Calc!CE$75:CE$89,Calc!$F$16),INDEX(Calc!CE$50:CE$64,Calc!$D$16))))</f>
        <v/>
      </c>
      <c r="AC33" s="20">
        <f>IF(AD33="","",N(AD32)*(1+Start!$E$25/12)-AD33)</f>
        <v/>
      </c>
      <c r="AD33" s="20">
        <f>IF(OR(OR(Calc!$B$4=0,$B33&gt;IF(Start!$D$10="Avalanche",Calc!$B$3,Calc!$B$2)),Calc!$B$17=0),"",IF(N(AD32)&lt;=0.005,"",IF(Start!$D$10="Avalanche",INDEX(Calc!CE$75:CE$89,Calc!$F$17),INDEX(Calc!CE$50:CE$64,Calc!$D$17))))</f>
        <v/>
      </c>
      <c r="AE33" s="20">
        <f>IF(AF33="","",N(AF32)*(1+Start!$E$26/12)-AF33)</f>
        <v/>
      </c>
      <c r="AF33" s="20">
        <f>IF(OR(OR(Calc!$B$4=0,$B33&gt;IF(Start!$D$10="Avalanche",Calc!$B$3,Calc!$B$2)),Calc!$B$18=0),"",IF(N(AF32)&lt;=0.005,"",IF(Start!$D$10="Avalanche",INDEX(Calc!CE$75:CE$89,Calc!$F$18),INDEX(Calc!CE$50:CE$64,Calc!$D$18))))</f>
        <v/>
      </c>
      <c r="AG33" s="20">
        <f>IF(AH33="","",N(AH32)*(1+Start!$E$27/12)-AH33)</f>
        <v/>
      </c>
      <c r="AH33" s="20">
        <f>IF(OR(OR(Calc!$B$4=0,$B33&gt;IF(Start!$D$10="Avalanche",Calc!$B$3,Calc!$B$2)),Calc!$B$19=0),"",IF(N(AH32)&lt;=0.005,"",IF(Start!$D$10="Avalanche",INDEX(Calc!CE$75:CE$89,Calc!$F$19),INDEX(Calc!CE$50:CE$64,Calc!$D$19))))</f>
        <v/>
      </c>
      <c r="AI33" s="20">
        <f>IF(AJ33="","",N(AJ32)*(1+Start!$E$28/12)-AJ33)</f>
        <v/>
      </c>
      <c r="AJ33" s="20">
        <f>IF(OR(OR(Calc!$B$4=0,$B33&gt;IF(Start!$D$10="Avalanche",Calc!$B$3,Calc!$B$2)),Calc!$B$20=0),"",IF(N(AJ32)&lt;=0.005,"",IF(Start!$D$10="Avalanche",INDEX(Calc!CE$75:CE$89,Calc!$F$20),INDEX(Calc!CE$50:CE$64,Calc!$D$20))))</f>
        <v/>
      </c>
    </row>
    <row r="34">
      <c r="B34" s="17" t="n">
        <v>28</v>
      </c>
      <c r="C34" s="19">
        <f>IF(Calc!$B$4=0,"",EDATE(Start!$D$11,27))</f>
        <v/>
      </c>
      <c r="D34" s="20">
        <f>IF(OR(Calc!$B$4=0,$B34&gt;IF(Start!$D$10="Avalanche",Calc!$B$3,Calc!$B$2)),"",SUM(G34,I34,K34,M34,O34,Q34,S34,U34,W34,Y34,AA34,AC34,AE34,AG34,AI34))</f>
        <v/>
      </c>
      <c r="E34" s="20">
        <f>IF(OR(Calc!$B$4=0,$B34&gt;IF(Start!$D$10="Avalanche",Calc!$B$3,Calc!$B$2)),"",IF(Start!$D$10="Avalanche",Calc!CF$72,Calc!CF$47))</f>
        <v/>
      </c>
      <c r="F34" s="21">
        <f>IF(Calc!$B$4=0,"",IF($B34&gt;IF(Start!$D$10="Avalanche",Calc!$B$3,Calc!$B$2),NA(),SUM(H34,J34,L34,N34,P34,R34,T34,V34,X34,Z34,AB34,AD34,AF34,AH34,AJ34)))</f>
        <v/>
      </c>
      <c r="G34" s="20">
        <f>IF(H34="","",N(H33)*(1+Start!$E$14/12)-H34)</f>
        <v/>
      </c>
      <c r="H34" s="20">
        <f>IF(OR(OR(Calc!$B$4=0,$B34&gt;IF(Start!$D$10="Avalanche",Calc!$B$3,Calc!$B$2)),Calc!$B$6=0),"",IF(N(H33)&lt;=0.005,"",IF(Start!$D$10="Avalanche",INDEX(Calc!CH$75:CH$89,Calc!$F$6),INDEX(Calc!CH$50:CH$64,Calc!$D$6))))</f>
        <v/>
      </c>
      <c r="I34" s="20">
        <f>IF(J34="","",N(J33)*(1+Start!$E$15/12)-J34)</f>
        <v/>
      </c>
      <c r="J34" s="20">
        <f>IF(OR(OR(Calc!$B$4=0,$B34&gt;IF(Start!$D$10="Avalanche",Calc!$B$3,Calc!$B$2)),Calc!$B$7=0),"",IF(N(J33)&lt;=0.005,"",IF(Start!$D$10="Avalanche",INDEX(Calc!CH$75:CH$89,Calc!$F$7),INDEX(Calc!CH$50:CH$64,Calc!$D$7))))</f>
        <v/>
      </c>
      <c r="K34" s="20">
        <f>IF(L34="","",N(L33)*(1+Start!$E$16/12)-L34)</f>
        <v/>
      </c>
      <c r="L34" s="20">
        <f>IF(OR(OR(Calc!$B$4=0,$B34&gt;IF(Start!$D$10="Avalanche",Calc!$B$3,Calc!$B$2)),Calc!$B$8=0),"",IF(N(L33)&lt;=0.005,"",IF(Start!$D$10="Avalanche",INDEX(Calc!CH$75:CH$89,Calc!$F$8),INDEX(Calc!CH$50:CH$64,Calc!$D$8))))</f>
        <v/>
      </c>
      <c r="M34" s="20">
        <f>IF(N34="","",N(N33)*(1+Start!$E$17/12)-N34)</f>
        <v/>
      </c>
      <c r="N34" s="20">
        <f>IF(OR(OR(Calc!$B$4=0,$B34&gt;IF(Start!$D$10="Avalanche",Calc!$B$3,Calc!$B$2)),Calc!$B$9=0),"",IF(N(N33)&lt;=0.005,"",IF(Start!$D$10="Avalanche",INDEX(Calc!CH$75:CH$89,Calc!$F$9),INDEX(Calc!CH$50:CH$64,Calc!$D$9))))</f>
        <v/>
      </c>
      <c r="O34" s="20">
        <f>IF(P34="","",N(P33)*(1+Start!$E$18/12)-P34)</f>
        <v/>
      </c>
      <c r="P34" s="20">
        <f>IF(OR(OR(Calc!$B$4=0,$B34&gt;IF(Start!$D$10="Avalanche",Calc!$B$3,Calc!$B$2)),Calc!$B$10=0),"",IF(N(P33)&lt;=0.005,"",IF(Start!$D$10="Avalanche",INDEX(Calc!CH$75:CH$89,Calc!$F$10),INDEX(Calc!CH$50:CH$64,Calc!$D$10))))</f>
        <v/>
      </c>
      <c r="Q34" s="20">
        <f>IF(R34="","",N(R33)*(1+Start!$E$19/12)-R34)</f>
        <v/>
      </c>
      <c r="R34" s="20">
        <f>IF(OR(OR(Calc!$B$4=0,$B34&gt;IF(Start!$D$10="Avalanche",Calc!$B$3,Calc!$B$2)),Calc!$B$11=0),"",IF(N(R33)&lt;=0.005,"",IF(Start!$D$10="Avalanche",INDEX(Calc!CH$75:CH$89,Calc!$F$11),INDEX(Calc!CH$50:CH$64,Calc!$D$11))))</f>
        <v/>
      </c>
      <c r="S34" s="20">
        <f>IF(T34="","",N(T33)*(1+Start!$E$20/12)-T34)</f>
        <v/>
      </c>
      <c r="T34" s="20">
        <f>IF(OR(OR(Calc!$B$4=0,$B34&gt;IF(Start!$D$10="Avalanche",Calc!$B$3,Calc!$B$2)),Calc!$B$12=0),"",IF(N(T33)&lt;=0.005,"",IF(Start!$D$10="Avalanche",INDEX(Calc!CH$75:CH$89,Calc!$F$12),INDEX(Calc!CH$50:CH$64,Calc!$D$12))))</f>
        <v/>
      </c>
      <c r="U34" s="20">
        <f>IF(V34="","",N(V33)*(1+Start!$E$21/12)-V34)</f>
        <v/>
      </c>
      <c r="V34" s="20">
        <f>IF(OR(OR(Calc!$B$4=0,$B34&gt;IF(Start!$D$10="Avalanche",Calc!$B$3,Calc!$B$2)),Calc!$B$13=0),"",IF(N(V33)&lt;=0.005,"",IF(Start!$D$10="Avalanche",INDEX(Calc!CH$75:CH$89,Calc!$F$13),INDEX(Calc!CH$50:CH$64,Calc!$D$13))))</f>
        <v/>
      </c>
      <c r="W34" s="20">
        <f>IF(X34="","",N(X33)*(1+Start!$E$22/12)-X34)</f>
        <v/>
      </c>
      <c r="X34" s="20">
        <f>IF(OR(OR(Calc!$B$4=0,$B34&gt;IF(Start!$D$10="Avalanche",Calc!$B$3,Calc!$B$2)),Calc!$B$14=0),"",IF(N(X33)&lt;=0.005,"",IF(Start!$D$10="Avalanche",INDEX(Calc!CH$75:CH$89,Calc!$F$14),INDEX(Calc!CH$50:CH$64,Calc!$D$14))))</f>
        <v/>
      </c>
      <c r="Y34" s="20">
        <f>IF(Z34="","",N(Z33)*(1+Start!$E$23/12)-Z34)</f>
        <v/>
      </c>
      <c r="Z34" s="20">
        <f>IF(OR(OR(Calc!$B$4=0,$B34&gt;IF(Start!$D$10="Avalanche",Calc!$B$3,Calc!$B$2)),Calc!$B$15=0),"",IF(N(Z33)&lt;=0.005,"",IF(Start!$D$10="Avalanche",INDEX(Calc!CH$75:CH$89,Calc!$F$15),INDEX(Calc!CH$50:CH$64,Calc!$D$15))))</f>
        <v/>
      </c>
      <c r="AA34" s="20">
        <f>IF(AB34="","",N(AB33)*(1+Start!$E$24/12)-AB34)</f>
        <v/>
      </c>
      <c r="AB34" s="20">
        <f>IF(OR(OR(Calc!$B$4=0,$B34&gt;IF(Start!$D$10="Avalanche",Calc!$B$3,Calc!$B$2)),Calc!$B$16=0),"",IF(N(AB33)&lt;=0.005,"",IF(Start!$D$10="Avalanche",INDEX(Calc!CH$75:CH$89,Calc!$F$16),INDEX(Calc!CH$50:CH$64,Calc!$D$16))))</f>
        <v/>
      </c>
      <c r="AC34" s="20">
        <f>IF(AD34="","",N(AD33)*(1+Start!$E$25/12)-AD34)</f>
        <v/>
      </c>
      <c r="AD34" s="20">
        <f>IF(OR(OR(Calc!$B$4=0,$B34&gt;IF(Start!$D$10="Avalanche",Calc!$B$3,Calc!$B$2)),Calc!$B$17=0),"",IF(N(AD33)&lt;=0.005,"",IF(Start!$D$10="Avalanche",INDEX(Calc!CH$75:CH$89,Calc!$F$17),INDEX(Calc!CH$50:CH$64,Calc!$D$17))))</f>
        <v/>
      </c>
      <c r="AE34" s="20">
        <f>IF(AF34="","",N(AF33)*(1+Start!$E$26/12)-AF34)</f>
        <v/>
      </c>
      <c r="AF34" s="20">
        <f>IF(OR(OR(Calc!$B$4=0,$B34&gt;IF(Start!$D$10="Avalanche",Calc!$B$3,Calc!$B$2)),Calc!$B$18=0),"",IF(N(AF33)&lt;=0.005,"",IF(Start!$D$10="Avalanche",INDEX(Calc!CH$75:CH$89,Calc!$F$18),INDEX(Calc!CH$50:CH$64,Calc!$D$18))))</f>
        <v/>
      </c>
      <c r="AG34" s="20">
        <f>IF(AH34="","",N(AH33)*(1+Start!$E$27/12)-AH34)</f>
        <v/>
      </c>
      <c r="AH34" s="20">
        <f>IF(OR(OR(Calc!$B$4=0,$B34&gt;IF(Start!$D$10="Avalanche",Calc!$B$3,Calc!$B$2)),Calc!$B$19=0),"",IF(N(AH33)&lt;=0.005,"",IF(Start!$D$10="Avalanche",INDEX(Calc!CH$75:CH$89,Calc!$F$19),INDEX(Calc!CH$50:CH$64,Calc!$D$19))))</f>
        <v/>
      </c>
      <c r="AI34" s="20">
        <f>IF(AJ34="","",N(AJ33)*(1+Start!$E$28/12)-AJ34)</f>
        <v/>
      </c>
      <c r="AJ34" s="20">
        <f>IF(OR(OR(Calc!$B$4=0,$B34&gt;IF(Start!$D$10="Avalanche",Calc!$B$3,Calc!$B$2)),Calc!$B$20=0),"",IF(N(AJ33)&lt;=0.005,"",IF(Start!$D$10="Avalanche",INDEX(Calc!CH$75:CH$89,Calc!$F$20),INDEX(Calc!CH$50:CH$64,Calc!$D$20))))</f>
        <v/>
      </c>
    </row>
    <row r="35">
      <c r="B35" s="17" t="n">
        <v>29</v>
      </c>
      <c r="C35" s="19">
        <f>IF(Calc!$B$4=0,"",EDATE(Start!$D$11,28))</f>
        <v/>
      </c>
      <c r="D35" s="20">
        <f>IF(OR(Calc!$B$4=0,$B35&gt;IF(Start!$D$10="Avalanche",Calc!$B$3,Calc!$B$2)),"",SUM(G35,I35,K35,M35,O35,Q35,S35,U35,W35,Y35,AA35,AC35,AE35,AG35,AI35))</f>
        <v/>
      </c>
      <c r="E35" s="20">
        <f>IF(OR(Calc!$B$4=0,$B35&gt;IF(Start!$D$10="Avalanche",Calc!$B$3,Calc!$B$2)),"",IF(Start!$D$10="Avalanche",Calc!CI$72,Calc!CI$47))</f>
        <v/>
      </c>
      <c r="F35" s="21">
        <f>IF(Calc!$B$4=0,"",IF($B35&gt;IF(Start!$D$10="Avalanche",Calc!$B$3,Calc!$B$2),NA(),SUM(H35,J35,L35,N35,P35,R35,T35,V35,X35,Z35,AB35,AD35,AF35,AH35,AJ35)))</f>
        <v/>
      </c>
      <c r="G35" s="20">
        <f>IF(H35="","",N(H34)*(1+Start!$E$14/12)-H35)</f>
        <v/>
      </c>
      <c r="H35" s="20">
        <f>IF(OR(OR(Calc!$B$4=0,$B35&gt;IF(Start!$D$10="Avalanche",Calc!$B$3,Calc!$B$2)),Calc!$B$6=0),"",IF(N(H34)&lt;=0.005,"",IF(Start!$D$10="Avalanche",INDEX(Calc!CK$75:CK$89,Calc!$F$6),INDEX(Calc!CK$50:CK$64,Calc!$D$6))))</f>
        <v/>
      </c>
      <c r="I35" s="20">
        <f>IF(J35="","",N(J34)*(1+Start!$E$15/12)-J35)</f>
        <v/>
      </c>
      <c r="J35" s="20">
        <f>IF(OR(OR(Calc!$B$4=0,$B35&gt;IF(Start!$D$10="Avalanche",Calc!$B$3,Calc!$B$2)),Calc!$B$7=0),"",IF(N(J34)&lt;=0.005,"",IF(Start!$D$10="Avalanche",INDEX(Calc!CK$75:CK$89,Calc!$F$7),INDEX(Calc!CK$50:CK$64,Calc!$D$7))))</f>
        <v/>
      </c>
      <c r="K35" s="20">
        <f>IF(L35="","",N(L34)*(1+Start!$E$16/12)-L35)</f>
        <v/>
      </c>
      <c r="L35" s="20">
        <f>IF(OR(OR(Calc!$B$4=0,$B35&gt;IF(Start!$D$10="Avalanche",Calc!$B$3,Calc!$B$2)),Calc!$B$8=0),"",IF(N(L34)&lt;=0.005,"",IF(Start!$D$10="Avalanche",INDEX(Calc!CK$75:CK$89,Calc!$F$8),INDEX(Calc!CK$50:CK$64,Calc!$D$8))))</f>
        <v/>
      </c>
      <c r="M35" s="20">
        <f>IF(N35="","",N(N34)*(1+Start!$E$17/12)-N35)</f>
        <v/>
      </c>
      <c r="N35" s="20">
        <f>IF(OR(OR(Calc!$B$4=0,$B35&gt;IF(Start!$D$10="Avalanche",Calc!$B$3,Calc!$B$2)),Calc!$B$9=0),"",IF(N(N34)&lt;=0.005,"",IF(Start!$D$10="Avalanche",INDEX(Calc!CK$75:CK$89,Calc!$F$9),INDEX(Calc!CK$50:CK$64,Calc!$D$9))))</f>
        <v/>
      </c>
      <c r="O35" s="20">
        <f>IF(P35="","",N(P34)*(1+Start!$E$18/12)-P35)</f>
        <v/>
      </c>
      <c r="P35" s="20">
        <f>IF(OR(OR(Calc!$B$4=0,$B35&gt;IF(Start!$D$10="Avalanche",Calc!$B$3,Calc!$B$2)),Calc!$B$10=0),"",IF(N(P34)&lt;=0.005,"",IF(Start!$D$10="Avalanche",INDEX(Calc!CK$75:CK$89,Calc!$F$10),INDEX(Calc!CK$50:CK$64,Calc!$D$10))))</f>
        <v/>
      </c>
      <c r="Q35" s="20">
        <f>IF(R35="","",N(R34)*(1+Start!$E$19/12)-R35)</f>
        <v/>
      </c>
      <c r="R35" s="20">
        <f>IF(OR(OR(Calc!$B$4=0,$B35&gt;IF(Start!$D$10="Avalanche",Calc!$B$3,Calc!$B$2)),Calc!$B$11=0),"",IF(N(R34)&lt;=0.005,"",IF(Start!$D$10="Avalanche",INDEX(Calc!CK$75:CK$89,Calc!$F$11),INDEX(Calc!CK$50:CK$64,Calc!$D$11))))</f>
        <v/>
      </c>
      <c r="S35" s="20">
        <f>IF(T35="","",N(T34)*(1+Start!$E$20/12)-T35)</f>
        <v/>
      </c>
      <c r="T35" s="20">
        <f>IF(OR(OR(Calc!$B$4=0,$B35&gt;IF(Start!$D$10="Avalanche",Calc!$B$3,Calc!$B$2)),Calc!$B$12=0),"",IF(N(T34)&lt;=0.005,"",IF(Start!$D$10="Avalanche",INDEX(Calc!CK$75:CK$89,Calc!$F$12),INDEX(Calc!CK$50:CK$64,Calc!$D$12))))</f>
        <v/>
      </c>
      <c r="U35" s="20">
        <f>IF(V35="","",N(V34)*(1+Start!$E$21/12)-V35)</f>
        <v/>
      </c>
      <c r="V35" s="20">
        <f>IF(OR(OR(Calc!$B$4=0,$B35&gt;IF(Start!$D$10="Avalanche",Calc!$B$3,Calc!$B$2)),Calc!$B$13=0),"",IF(N(V34)&lt;=0.005,"",IF(Start!$D$10="Avalanche",INDEX(Calc!CK$75:CK$89,Calc!$F$13),INDEX(Calc!CK$50:CK$64,Calc!$D$13))))</f>
        <v/>
      </c>
      <c r="W35" s="20">
        <f>IF(X35="","",N(X34)*(1+Start!$E$22/12)-X35)</f>
        <v/>
      </c>
      <c r="X35" s="20">
        <f>IF(OR(OR(Calc!$B$4=0,$B35&gt;IF(Start!$D$10="Avalanche",Calc!$B$3,Calc!$B$2)),Calc!$B$14=0),"",IF(N(X34)&lt;=0.005,"",IF(Start!$D$10="Avalanche",INDEX(Calc!CK$75:CK$89,Calc!$F$14),INDEX(Calc!CK$50:CK$64,Calc!$D$14))))</f>
        <v/>
      </c>
      <c r="Y35" s="20">
        <f>IF(Z35="","",N(Z34)*(1+Start!$E$23/12)-Z35)</f>
        <v/>
      </c>
      <c r="Z35" s="20">
        <f>IF(OR(OR(Calc!$B$4=0,$B35&gt;IF(Start!$D$10="Avalanche",Calc!$B$3,Calc!$B$2)),Calc!$B$15=0),"",IF(N(Z34)&lt;=0.005,"",IF(Start!$D$10="Avalanche",INDEX(Calc!CK$75:CK$89,Calc!$F$15),INDEX(Calc!CK$50:CK$64,Calc!$D$15))))</f>
        <v/>
      </c>
      <c r="AA35" s="20">
        <f>IF(AB35="","",N(AB34)*(1+Start!$E$24/12)-AB35)</f>
        <v/>
      </c>
      <c r="AB35" s="20">
        <f>IF(OR(OR(Calc!$B$4=0,$B35&gt;IF(Start!$D$10="Avalanche",Calc!$B$3,Calc!$B$2)),Calc!$B$16=0),"",IF(N(AB34)&lt;=0.005,"",IF(Start!$D$10="Avalanche",INDEX(Calc!CK$75:CK$89,Calc!$F$16),INDEX(Calc!CK$50:CK$64,Calc!$D$16))))</f>
        <v/>
      </c>
      <c r="AC35" s="20">
        <f>IF(AD35="","",N(AD34)*(1+Start!$E$25/12)-AD35)</f>
        <v/>
      </c>
      <c r="AD35" s="20">
        <f>IF(OR(OR(Calc!$B$4=0,$B35&gt;IF(Start!$D$10="Avalanche",Calc!$B$3,Calc!$B$2)),Calc!$B$17=0),"",IF(N(AD34)&lt;=0.005,"",IF(Start!$D$10="Avalanche",INDEX(Calc!CK$75:CK$89,Calc!$F$17),INDEX(Calc!CK$50:CK$64,Calc!$D$17))))</f>
        <v/>
      </c>
      <c r="AE35" s="20">
        <f>IF(AF35="","",N(AF34)*(1+Start!$E$26/12)-AF35)</f>
        <v/>
      </c>
      <c r="AF35" s="20">
        <f>IF(OR(OR(Calc!$B$4=0,$B35&gt;IF(Start!$D$10="Avalanche",Calc!$B$3,Calc!$B$2)),Calc!$B$18=0),"",IF(N(AF34)&lt;=0.005,"",IF(Start!$D$10="Avalanche",INDEX(Calc!CK$75:CK$89,Calc!$F$18),INDEX(Calc!CK$50:CK$64,Calc!$D$18))))</f>
        <v/>
      </c>
      <c r="AG35" s="20">
        <f>IF(AH35="","",N(AH34)*(1+Start!$E$27/12)-AH35)</f>
        <v/>
      </c>
      <c r="AH35" s="20">
        <f>IF(OR(OR(Calc!$B$4=0,$B35&gt;IF(Start!$D$10="Avalanche",Calc!$B$3,Calc!$B$2)),Calc!$B$19=0),"",IF(N(AH34)&lt;=0.005,"",IF(Start!$D$10="Avalanche",INDEX(Calc!CK$75:CK$89,Calc!$F$19),INDEX(Calc!CK$50:CK$64,Calc!$D$19))))</f>
        <v/>
      </c>
      <c r="AI35" s="20">
        <f>IF(AJ35="","",N(AJ34)*(1+Start!$E$28/12)-AJ35)</f>
        <v/>
      </c>
      <c r="AJ35" s="20">
        <f>IF(OR(OR(Calc!$B$4=0,$B35&gt;IF(Start!$D$10="Avalanche",Calc!$B$3,Calc!$B$2)),Calc!$B$20=0),"",IF(N(AJ34)&lt;=0.005,"",IF(Start!$D$10="Avalanche",INDEX(Calc!CK$75:CK$89,Calc!$F$20),INDEX(Calc!CK$50:CK$64,Calc!$D$20))))</f>
        <v/>
      </c>
    </row>
    <row r="36">
      <c r="B36" s="17" t="n">
        <v>30</v>
      </c>
      <c r="C36" s="19">
        <f>IF(Calc!$B$4=0,"",EDATE(Start!$D$11,29))</f>
        <v/>
      </c>
      <c r="D36" s="20">
        <f>IF(OR(Calc!$B$4=0,$B36&gt;IF(Start!$D$10="Avalanche",Calc!$B$3,Calc!$B$2)),"",SUM(G36,I36,K36,M36,O36,Q36,S36,U36,W36,Y36,AA36,AC36,AE36,AG36,AI36))</f>
        <v/>
      </c>
      <c r="E36" s="20">
        <f>IF(OR(Calc!$B$4=0,$B36&gt;IF(Start!$D$10="Avalanche",Calc!$B$3,Calc!$B$2)),"",IF(Start!$D$10="Avalanche",Calc!CL$72,Calc!CL$47))</f>
        <v/>
      </c>
      <c r="F36" s="21">
        <f>IF(Calc!$B$4=0,"",IF($B36&gt;IF(Start!$D$10="Avalanche",Calc!$B$3,Calc!$B$2),NA(),SUM(H36,J36,L36,N36,P36,R36,T36,V36,X36,Z36,AB36,AD36,AF36,AH36,AJ36)))</f>
        <v/>
      </c>
      <c r="G36" s="20">
        <f>IF(H36="","",N(H35)*(1+Start!$E$14/12)-H36)</f>
        <v/>
      </c>
      <c r="H36" s="20">
        <f>IF(OR(OR(Calc!$B$4=0,$B36&gt;IF(Start!$D$10="Avalanche",Calc!$B$3,Calc!$B$2)),Calc!$B$6=0),"",IF(N(H35)&lt;=0.005,"",IF(Start!$D$10="Avalanche",INDEX(Calc!CN$75:CN$89,Calc!$F$6),INDEX(Calc!CN$50:CN$64,Calc!$D$6))))</f>
        <v/>
      </c>
      <c r="I36" s="20">
        <f>IF(J36="","",N(J35)*(1+Start!$E$15/12)-J36)</f>
        <v/>
      </c>
      <c r="J36" s="20">
        <f>IF(OR(OR(Calc!$B$4=0,$B36&gt;IF(Start!$D$10="Avalanche",Calc!$B$3,Calc!$B$2)),Calc!$B$7=0),"",IF(N(J35)&lt;=0.005,"",IF(Start!$D$10="Avalanche",INDEX(Calc!CN$75:CN$89,Calc!$F$7),INDEX(Calc!CN$50:CN$64,Calc!$D$7))))</f>
        <v/>
      </c>
      <c r="K36" s="20">
        <f>IF(L36="","",N(L35)*(1+Start!$E$16/12)-L36)</f>
        <v/>
      </c>
      <c r="L36" s="20">
        <f>IF(OR(OR(Calc!$B$4=0,$B36&gt;IF(Start!$D$10="Avalanche",Calc!$B$3,Calc!$B$2)),Calc!$B$8=0),"",IF(N(L35)&lt;=0.005,"",IF(Start!$D$10="Avalanche",INDEX(Calc!CN$75:CN$89,Calc!$F$8),INDEX(Calc!CN$50:CN$64,Calc!$D$8))))</f>
        <v/>
      </c>
      <c r="M36" s="20">
        <f>IF(N36="","",N(N35)*(1+Start!$E$17/12)-N36)</f>
        <v/>
      </c>
      <c r="N36" s="20">
        <f>IF(OR(OR(Calc!$B$4=0,$B36&gt;IF(Start!$D$10="Avalanche",Calc!$B$3,Calc!$B$2)),Calc!$B$9=0),"",IF(N(N35)&lt;=0.005,"",IF(Start!$D$10="Avalanche",INDEX(Calc!CN$75:CN$89,Calc!$F$9),INDEX(Calc!CN$50:CN$64,Calc!$D$9))))</f>
        <v/>
      </c>
      <c r="O36" s="20">
        <f>IF(P36="","",N(P35)*(1+Start!$E$18/12)-P36)</f>
        <v/>
      </c>
      <c r="P36" s="20">
        <f>IF(OR(OR(Calc!$B$4=0,$B36&gt;IF(Start!$D$10="Avalanche",Calc!$B$3,Calc!$B$2)),Calc!$B$10=0),"",IF(N(P35)&lt;=0.005,"",IF(Start!$D$10="Avalanche",INDEX(Calc!CN$75:CN$89,Calc!$F$10),INDEX(Calc!CN$50:CN$64,Calc!$D$10))))</f>
        <v/>
      </c>
      <c r="Q36" s="20">
        <f>IF(R36="","",N(R35)*(1+Start!$E$19/12)-R36)</f>
        <v/>
      </c>
      <c r="R36" s="20">
        <f>IF(OR(OR(Calc!$B$4=0,$B36&gt;IF(Start!$D$10="Avalanche",Calc!$B$3,Calc!$B$2)),Calc!$B$11=0),"",IF(N(R35)&lt;=0.005,"",IF(Start!$D$10="Avalanche",INDEX(Calc!CN$75:CN$89,Calc!$F$11),INDEX(Calc!CN$50:CN$64,Calc!$D$11))))</f>
        <v/>
      </c>
      <c r="S36" s="20">
        <f>IF(T36="","",N(T35)*(1+Start!$E$20/12)-T36)</f>
        <v/>
      </c>
      <c r="T36" s="20">
        <f>IF(OR(OR(Calc!$B$4=0,$B36&gt;IF(Start!$D$10="Avalanche",Calc!$B$3,Calc!$B$2)),Calc!$B$12=0),"",IF(N(T35)&lt;=0.005,"",IF(Start!$D$10="Avalanche",INDEX(Calc!CN$75:CN$89,Calc!$F$12),INDEX(Calc!CN$50:CN$64,Calc!$D$12))))</f>
        <v/>
      </c>
      <c r="U36" s="20">
        <f>IF(V36="","",N(V35)*(1+Start!$E$21/12)-V36)</f>
        <v/>
      </c>
      <c r="V36" s="20">
        <f>IF(OR(OR(Calc!$B$4=0,$B36&gt;IF(Start!$D$10="Avalanche",Calc!$B$3,Calc!$B$2)),Calc!$B$13=0),"",IF(N(V35)&lt;=0.005,"",IF(Start!$D$10="Avalanche",INDEX(Calc!CN$75:CN$89,Calc!$F$13),INDEX(Calc!CN$50:CN$64,Calc!$D$13))))</f>
        <v/>
      </c>
      <c r="W36" s="20">
        <f>IF(X36="","",N(X35)*(1+Start!$E$22/12)-X36)</f>
        <v/>
      </c>
      <c r="X36" s="20">
        <f>IF(OR(OR(Calc!$B$4=0,$B36&gt;IF(Start!$D$10="Avalanche",Calc!$B$3,Calc!$B$2)),Calc!$B$14=0),"",IF(N(X35)&lt;=0.005,"",IF(Start!$D$10="Avalanche",INDEX(Calc!CN$75:CN$89,Calc!$F$14),INDEX(Calc!CN$50:CN$64,Calc!$D$14))))</f>
        <v/>
      </c>
      <c r="Y36" s="20">
        <f>IF(Z36="","",N(Z35)*(1+Start!$E$23/12)-Z36)</f>
        <v/>
      </c>
      <c r="Z36" s="20">
        <f>IF(OR(OR(Calc!$B$4=0,$B36&gt;IF(Start!$D$10="Avalanche",Calc!$B$3,Calc!$B$2)),Calc!$B$15=0),"",IF(N(Z35)&lt;=0.005,"",IF(Start!$D$10="Avalanche",INDEX(Calc!CN$75:CN$89,Calc!$F$15),INDEX(Calc!CN$50:CN$64,Calc!$D$15))))</f>
        <v/>
      </c>
      <c r="AA36" s="20">
        <f>IF(AB36="","",N(AB35)*(1+Start!$E$24/12)-AB36)</f>
        <v/>
      </c>
      <c r="AB36" s="20">
        <f>IF(OR(OR(Calc!$B$4=0,$B36&gt;IF(Start!$D$10="Avalanche",Calc!$B$3,Calc!$B$2)),Calc!$B$16=0),"",IF(N(AB35)&lt;=0.005,"",IF(Start!$D$10="Avalanche",INDEX(Calc!CN$75:CN$89,Calc!$F$16),INDEX(Calc!CN$50:CN$64,Calc!$D$16))))</f>
        <v/>
      </c>
      <c r="AC36" s="20">
        <f>IF(AD36="","",N(AD35)*(1+Start!$E$25/12)-AD36)</f>
        <v/>
      </c>
      <c r="AD36" s="20">
        <f>IF(OR(OR(Calc!$B$4=0,$B36&gt;IF(Start!$D$10="Avalanche",Calc!$B$3,Calc!$B$2)),Calc!$B$17=0),"",IF(N(AD35)&lt;=0.005,"",IF(Start!$D$10="Avalanche",INDEX(Calc!CN$75:CN$89,Calc!$F$17),INDEX(Calc!CN$50:CN$64,Calc!$D$17))))</f>
        <v/>
      </c>
      <c r="AE36" s="20">
        <f>IF(AF36="","",N(AF35)*(1+Start!$E$26/12)-AF36)</f>
        <v/>
      </c>
      <c r="AF36" s="20">
        <f>IF(OR(OR(Calc!$B$4=0,$B36&gt;IF(Start!$D$10="Avalanche",Calc!$B$3,Calc!$B$2)),Calc!$B$18=0),"",IF(N(AF35)&lt;=0.005,"",IF(Start!$D$10="Avalanche",INDEX(Calc!CN$75:CN$89,Calc!$F$18),INDEX(Calc!CN$50:CN$64,Calc!$D$18))))</f>
        <v/>
      </c>
      <c r="AG36" s="20">
        <f>IF(AH36="","",N(AH35)*(1+Start!$E$27/12)-AH36)</f>
        <v/>
      </c>
      <c r="AH36" s="20">
        <f>IF(OR(OR(Calc!$B$4=0,$B36&gt;IF(Start!$D$10="Avalanche",Calc!$B$3,Calc!$B$2)),Calc!$B$19=0),"",IF(N(AH35)&lt;=0.005,"",IF(Start!$D$10="Avalanche",INDEX(Calc!CN$75:CN$89,Calc!$F$19),INDEX(Calc!CN$50:CN$64,Calc!$D$19))))</f>
        <v/>
      </c>
      <c r="AI36" s="20">
        <f>IF(AJ36="","",N(AJ35)*(1+Start!$E$28/12)-AJ36)</f>
        <v/>
      </c>
      <c r="AJ36" s="20">
        <f>IF(OR(OR(Calc!$B$4=0,$B36&gt;IF(Start!$D$10="Avalanche",Calc!$B$3,Calc!$B$2)),Calc!$B$20=0),"",IF(N(AJ35)&lt;=0.005,"",IF(Start!$D$10="Avalanche",INDEX(Calc!CN$75:CN$89,Calc!$F$20),INDEX(Calc!CN$50:CN$64,Calc!$D$20))))</f>
        <v/>
      </c>
    </row>
    <row r="37">
      <c r="B37" s="17" t="n">
        <v>31</v>
      </c>
      <c r="C37" s="19">
        <f>IF(Calc!$B$4=0,"",EDATE(Start!$D$11,30))</f>
        <v/>
      </c>
      <c r="D37" s="20">
        <f>IF(OR(Calc!$B$4=0,$B37&gt;IF(Start!$D$10="Avalanche",Calc!$B$3,Calc!$B$2)),"",SUM(G37,I37,K37,M37,O37,Q37,S37,U37,W37,Y37,AA37,AC37,AE37,AG37,AI37))</f>
        <v/>
      </c>
      <c r="E37" s="20">
        <f>IF(OR(Calc!$B$4=0,$B37&gt;IF(Start!$D$10="Avalanche",Calc!$B$3,Calc!$B$2)),"",IF(Start!$D$10="Avalanche",Calc!CO$72,Calc!CO$47))</f>
        <v/>
      </c>
      <c r="F37" s="21">
        <f>IF(Calc!$B$4=0,"",IF($B37&gt;IF(Start!$D$10="Avalanche",Calc!$B$3,Calc!$B$2),NA(),SUM(H37,J37,L37,N37,P37,R37,T37,V37,X37,Z37,AB37,AD37,AF37,AH37,AJ37)))</f>
        <v/>
      </c>
      <c r="G37" s="20">
        <f>IF(H37="","",N(H36)*(1+Start!$E$14/12)-H37)</f>
        <v/>
      </c>
      <c r="H37" s="20">
        <f>IF(OR(OR(Calc!$B$4=0,$B37&gt;IF(Start!$D$10="Avalanche",Calc!$B$3,Calc!$B$2)),Calc!$B$6=0),"",IF(N(H36)&lt;=0.005,"",IF(Start!$D$10="Avalanche",INDEX(Calc!CQ$75:CQ$89,Calc!$F$6),INDEX(Calc!CQ$50:CQ$64,Calc!$D$6))))</f>
        <v/>
      </c>
      <c r="I37" s="20">
        <f>IF(J37="","",N(J36)*(1+Start!$E$15/12)-J37)</f>
        <v/>
      </c>
      <c r="J37" s="20">
        <f>IF(OR(OR(Calc!$B$4=0,$B37&gt;IF(Start!$D$10="Avalanche",Calc!$B$3,Calc!$B$2)),Calc!$B$7=0),"",IF(N(J36)&lt;=0.005,"",IF(Start!$D$10="Avalanche",INDEX(Calc!CQ$75:CQ$89,Calc!$F$7),INDEX(Calc!CQ$50:CQ$64,Calc!$D$7))))</f>
        <v/>
      </c>
      <c r="K37" s="20">
        <f>IF(L37="","",N(L36)*(1+Start!$E$16/12)-L37)</f>
        <v/>
      </c>
      <c r="L37" s="20">
        <f>IF(OR(OR(Calc!$B$4=0,$B37&gt;IF(Start!$D$10="Avalanche",Calc!$B$3,Calc!$B$2)),Calc!$B$8=0),"",IF(N(L36)&lt;=0.005,"",IF(Start!$D$10="Avalanche",INDEX(Calc!CQ$75:CQ$89,Calc!$F$8),INDEX(Calc!CQ$50:CQ$64,Calc!$D$8))))</f>
        <v/>
      </c>
      <c r="M37" s="20">
        <f>IF(N37="","",N(N36)*(1+Start!$E$17/12)-N37)</f>
        <v/>
      </c>
      <c r="N37" s="20">
        <f>IF(OR(OR(Calc!$B$4=0,$B37&gt;IF(Start!$D$10="Avalanche",Calc!$B$3,Calc!$B$2)),Calc!$B$9=0),"",IF(N(N36)&lt;=0.005,"",IF(Start!$D$10="Avalanche",INDEX(Calc!CQ$75:CQ$89,Calc!$F$9),INDEX(Calc!CQ$50:CQ$64,Calc!$D$9))))</f>
        <v/>
      </c>
      <c r="O37" s="20">
        <f>IF(P37="","",N(P36)*(1+Start!$E$18/12)-P37)</f>
        <v/>
      </c>
      <c r="P37" s="20">
        <f>IF(OR(OR(Calc!$B$4=0,$B37&gt;IF(Start!$D$10="Avalanche",Calc!$B$3,Calc!$B$2)),Calc!$B$10=0),"",IF(N(P36)&lt;=0.005,"",IF(Start!$D$10="Avalanche",INDEX(Calc!CQ$75:CQ$89,Calc!$F$10),INDEX(Calc!CQ$50:CQ$64,Calc!$D$10))))</f>
        <v/>
      </c>
      <c r="Q37" s="20">
        <f>IF(R37="","",N(R36)*(1+Start!$E$19/12)-R37)</f>
        <v/>
      </c>
      <c r="R37" s="20">
        <f>IF(OR(OR(Calc!$B$4=0,$B37&gt;IF(Start!$D$10="Avalanche",Calc!$B$3,Calc!$B$2)),Calc!$B$11=0),"",IF(N(R36)&lt;=0.005,"",IF(Start!$D$10="Avalanche",INDEX(Calc!CQ$75:CQ$89,Calc!$F$11),INDEX(Calc!CQ$50:CQ$64,Calc!$D$11))))</f>
        <v/>
      </c>
      <c r="S37" s="20">
        <f>IF(T37="","",N(T36)*(1+Start!$E$20/12)-T37)</f>
        <v/>
      </c>
      <c r="T37" s="20">
        <f>IF(OR(OR(Calc!$B$4=0,$B37&gt;IF(Start!$D$10="Avalanche",Calc!$B$3,Calc!$B$2)),Calc!$B$12=0),"",IF(N(T36)&lt;=0.005,"",IF(Start!$D$10="Avalanche",INDEX(Calc!CQ$75:CQ$89,Calc!$F$12),INDEX(Calc!CQ$50:CQ$64,Calc!$D$12))))</f>
        <v/>
      </c>
      <c r="U37" s="20">
        <f>IF(V37="","",N(V36)*(1+Start!$E$21/12)-V37)</f>
        <v/>
      </c>
      <c r="V37" s="20">
        <f>IF(OR(OR(Calc!$B$4=0,$B37&gt;IF(Start!$D$10="Avalanche",Calc!$B$3,Calc!$B$2)),Calc!$B$13=0),"",IF(N(V36)&lt;=0.005,"",IF(Start!$D$10="Avalanche",INDEX(Calc!CQ$75:CQ$89,Calc!$F$13),INDEX(Calc!CQ$50:CQ$64,Calc!$D$13))))</f>
        <v/>
      </c>
      <c r="W37" s="20">
        <f>IF(X37="","",N(X36)*(1+Start!$E$22/12)-X37)</f>
        <v/>
      </c>
      <c r="X37" s="20">
        <f>IF(OR(OR(Calc!$B$4=0,$B37&gt;IF(Start!$D$10="Avalanche",Calc!$B$3,Calc!$B$2)),Calc!$B$14=0),"",IF(N(X36)&lt;=0.005,"",IF(Start!$D$10="Avalanche",INDEX(Calc!CQ$75:CQ$89,Calc!$F$14),INDEX(Calc!CQ$50:CQ$64,Calc!$D$14))))</f>
        <v/>
      </c>
      <c r="Y37" s="20">
        <f>IF(Z37="","",N(Z36)*(1+Start!$E$23/12)-Z37)</f>
        <v/>
      </c>
      <c r="Z37" s="20">
        <f>IF(OR(OR(Calc!$B$4=0,$B37&gt;IF(Start!$D$10="Avalanche",Calc!$B$3,Calc!$B$2)),Calc!$B$15=0),"",IF(N(Z36)&lt;=0.005,"",IF(Start!$D$10="Avalanche",INDEX(Calc!CQ$75:CQ$89,Calc!$F$15),INDEX(Calc!CQ$50:CQ$64,Calc!$D$15))))</f>
        <v/>
      </c>
      <c r="AA37" s="20">
        <f>IF(AB37="","",N(AB36)*(1+Start!$E$24/12)-AB37)</f>
        <v/>
      </c>
      <c r="AB37" s="20">
        <f>IF(OR(OR(Calc!$B$4=0,$B37&gt;IF(Start!$D$10="Avalanche",Calc!$B$3,Calc!$B$2)),Calc!$B$16=0),"",IF(N(AB36)&lt;=0.005,"",IF(Start!$D$10="Avalanche",INDEX(Calc!CQ$75:CQ$89,Calc!$F$16),INDEX(Calc!CQ$50:CQ$64,Calc!$D$16))))</f>
        <v/>
      </c>
      <c r="AC37" s="20">
        <f>IF(AD37="","",N(AD36)*(1+Start!$E$25/12)-AD37)</f>
        <v/>
      </c>
      <c r="AD37" s="20">
        <f>IF(OR(OR(Calc!$B$4=0,$B37&gt;IF(Start!$D$10="Avalanche",Calc!$B$3,Calc!$B$2)),Calc!$B$17=0),"",IF(N(AD36)&lt;=0.005,"",IF(Start!$D$10="Avalanche",INDEX(Calc!CQ$75:CQ$89,Calc!$F$17),INDEX(Calc!CQ$50:CQ$64,Calc!$D$17))))</f>
        <v/>
      </c>
      <c r="AE37" s="20">
        <f>IF(AF37="","",N(AF36)*(1+Start!$E$26/12)-AF37)</f>
        <v/>
      </c>
      <c r="AF37" s="20">
        <f>IF(OR(OR(Calc!$B$4=0,$B37&gt;IF(Start!$D$10="Avalanche",Calc!$B$3,Calc!$B$2)),Calc!$B$18=0),"",IF(N(AF36)&lt;=0.005,"",IF(Start!$D$10="Avalanche",INDEX(Calc!CQ$75:CQ$89,Calc!$F$18),INDEX(Calc!CQ$50:CQ$64,Calc!$D$18))))</f>
        <v/>
      </c>
      <c r="AG37" s="20">
        <f>IF(AH37="","",N(AH36)*(1+Start!$E$27/12)-AH37)</f>
        <v/>
      </c>
      <c r="AH37" s="20">
        <f>IF(OR(OR(Calc!$B$4=0,$B37&gt;IF(Start!$D$10="Avalanche",Calc!$B$3,Calc!$B$2)),Calc!$B$19=0),"",IF(N(AH36)&lt;=0.005,"",IF(Start!$D$10="Avalanche",INDEX(Calc!CQ$75:CQ$89,Calc!$F$19),INDEX(Calc!CQ$50:CQ$64,Calc!$D$19))))</f>
        <v/>
      </c>
      <c r="AI37" s="20">
        <f>IF(AJ37="","",N(AJ36)*(1+Start!$E$28/12)-AJ37)</f>
        <v/>
      </c>
      <c r="AJ37" s="20">
        <f>IF(OR(OR(Calc!$B$4=0,$B37&gt;IF(Start!$D$10="Avalanche",Calc!$B$3,Calc!$B$2)),Calc!$B$20=0),"",IF(N(AJ36)&lt;=0.005,"",IF(Start!$D$10="Avalanche",INDEX(Calc!CQ$75:CQ$89,Calc!$F$20),INDEX(Calc!CQ$50:CQ$64,Calc!$D$20))))</f>
        <v/>
      </c>
    </row>
    <row r="38">
      <c r="B38" s="17" t="n">
        <v>32</v>
      </c>
      <c r="C38" s="19">
        <f>IF(Calc!$B$4=0,"",EDATE(Start!$D$11,31))</f>
        <v/>
      </c>
      <c r="D38" s="20">
        <f>IF(OR(Calc!$B$4=0,$B38&gt;IF(Start!$D$10="Avalanche",Calc!$B$3,Calc!$B$2)),"",SUM(G38,I38,K38,M38,O38,Q38,S38,U38,W38,Y38,AA38,AC38,AE38,AG38,AI38))</f>
        <v/>
      </c>
      <c r="E38" s="20">
        <f>IF(OR(Calc!$B$4=0,$B38&gt;IF(Start!$D$10="Avalanche",Calc!$B$3,Calc!$B$2)),"",IF(Start!$D$10="Avalanche",Calc!CR$72,Calc!CR$47))</f>
        <v/>
      </c>
      <c r="F38" s="21">
        <f>IF(Calc!$B$4=0,"",IF($B38&gt;IF(Start!$D$10="Avalanche",Calc!$B$3,Calc!$B$2),NA(),SUM(H38,J38,L38,N38,P38,R38,T38,V38,X38,Z38,AB38,AD38,AF38,AH38,AJ38)))</f>
        <v/>
      </c>
      <c r="G38" s="20">
        <f>IF(H38="","",N(H37)*(1+Start!$E$14/12)-H38)</f>
        <v/>
      </c>
      <c r="H38" s="20">
        <f>IF(OR(OR(Calc!$B$4=0,$B38&gt;IF(Start!$D$10="Avalanche",Calc!$B$3,Calc!$B$2)),Calc!$B$6=0),"",IF(N(H37)&lt;=0.005,"",IF(Start!$D$10="Avalanche",INDEX(Calc!CT$75:CT$89,Calc!$F$6),INDEX(Calc!CT$50:CT$64,Calc!$D$6))))</f>
        <v/>
      </c>
      <c r="I38" s="20">
        <f>IF(J38="","",N(J37)*(1+Start!$E$15/12)-J38)</f>
        <v/>
      </c>
      <c r="J38" s="20">
        <f>IF(OR(OR(Calc!$B$4=0,$B38&gt;IF(Start!$D$10="Avalanche",Calc!$B$3,Calc!$B$2)),Calc!$B$7=0),"",IF(N(J37)&lt;=0.005,"",IF(Start!$D$10="Avalanche",INDEX(Calc!CT$75:CT$89,Calc!$F$7),INDEX(Calc!CT$50:CT$64,Calc!$D$7))))</f>
        <v/>
      </c>
      <c r="K38" s="20">
        <f>IF(L38="","",N(L37)*(1+Start!$E$16/12)-L38)</f>
        <v/>
      </c>
      <c r="L38" s="20">
        <f>IF(OR(OR(Calc!$B$4=0,$B38&gt;IF(Start!$D$10="Avalanche",Calc!$B$3,Calc!$B$2)),Calc!$B$8=0),"",IF(N(L37)&lt;=0.005,"",IF(Start!$D$10="Avalanche",INDEX(Calc!CT$75:CT$89,Calc!$F$8),INDEX(Calc!CT$50:CT$64,Calc!$D$8))))</f>
        <v/>
      </c>
      <c r="M38" s="20">
        <f>IF(N38="","",N(N37)*(1+Start!$E$17/12)-N38)</f>
        <v/>
      </c>
      <c r="N38" s="20">
        <f>IF(OR(OR(Calc!$B$4=0,$B38&gt;IF(Start!$D$10="Avalanche",Calc!$B$3,Calc!$B$2)),Calc!$B$9=0),"",IF(N(N37)&lt;=0.005,"",IF(Start!$D$10="Avalanche",INDEX(Calc!CT$75:CT$89,Calc!$F$9),INDEX(Calc!CT$50:CT$64,Calc!$D$9))))</f>
        <v/>
      </c>
      <c r="O38" s="20">
        <f>IF(P38="","",N(P37)*(1+Start!$E$18/12)-P38)</f>
        <v/>
      </c>
      <c r="P38" s="20">
        <f>IF(OR(OR(Calc!$B$4=0,$B38&gt;IF(Start!$D$10="Avalanche",Calc!$B$3,Calc!$B$2)),Calc!$B$10=0),"",IF(N(P37)&lt;=0.005,"",IF(Start!$D$10="Avalanche",INDEX(Calc!CT$75:CT$89,Calc!$F$10),INDEX(Calc!CT$50:CT$64,Calc!$D$10))))</f>
        <v/>
      </c>
      <c r="Q38" s="20">
        <f>IF(R38="","",N(R37)*(1+Start!$E$19/12)-R38)</f>
        <v/>
      </c>
      <c r="R38" s="20">
        <f>IF(OR(OR(Calc!$B$4=0,$B38&gt;IF(Start!$D$10="Avalanche",Calc!$B$3,Calc!$B$2)),Calc!$B$11=0),"",IF(N(R37)&lt;=0.005,"",IF(Start!$D$10="Avalanche",INDEX(Calc!CT$75:CT$89,Calc!$F$11),INDEX(Calc!CT$50:CT$64,Calc!$D$11))))</f>
        <v/>
      </c>
      <c r="S38" s="20">
        <f>IF(T38="","",N(T37)*(1+Start!$E$20/12)-T38)</f>
        <v/>
      </c>
      <c r="T38" s="20">
        <f>IF(OR(OR(Calc!$B$4=0,$B38&gt;IF(Start!$D$10="Avalanche",Calc!$B$3,Calc!$B$2)),Calc!$B$12=0),"",IF(N(T37)&lt;=0.005,"",IF(Start!$D$10="Avalanche",INDEX(Calc!CT$75:CT$89,Calc!$F$12),INDEX(Calc!CT$50:CT$64,Calc!$D$12))))</f>
        <v/>
      </c>
      <c r="U38" s="20">
        <f>IF(V38="","",N(V37)*(1+Start!$E$21/12)-V38)</f>
        <v/>
      </c>
      <c r="V38" s="20">
        <f>IF(OR(OR(Calc!$B$4=0,$B38&gt;IF(Start!$D$10="Avalanche",Calc!$B$3,Calc!$B$2)),Calc!$B$13=0),"",IF(N(V37)&lt;=0.005,"",IF(Start!$D$10="Avalanche",INDEX(Calc!CT$75:CT$89,Calc!$F$13),INDEX(Calc!CT$50:CT$64,Calc!$D$13))))</f>
        <v/>
      </c>
      <c r="W38" s="20">
        <f>IF(X38="","",N(X37)*(1+Start!$E$22/12)-X38)</f>
        <v/>
      </c>
      <c r="X38" s="20">
        <f>IF(OR(OR(Calc!$B$4=0,$B38&gt;IF(Start!$D$10="Avalanche",Calc!$B$3,Calc!$B$2)),Calc!$B$14=0),"",IF(N(X37)&lt;=0.005,"",IF(Start!$D$10="Avalanche",INDEX(Calc!CT$75:CT$89,Calc!$F$14),INDEX(Calc!CT$50:CT$64,Calc!$D$14))))</f>
        <v/>
      </c>
      <c r="Y38" s="20">
        <f>IF(Z38="","",N(Z37)*(1+Start!$E$23/12)-Z38)</f>
        <v/>
      </c>
      <c r="Z38" s="20">
        <f>IF(OR(OR(Calc!$B$4=0,$B38&gt;IF(Start!$D$10="Avalanche",Calc!$B$3,Calc!$B$2)),Calc!$B$15=0),"",IF(N(Z37)&lt;=0.005,"",IF(Start!$D$10="Avalanche",INDEX(Calc!CT$75:CT$89,Calc!$F$15),INDEX(Calc!CT$50:CT$64,Calc!$D$15))))</f>
        <v/>
      </c>
      <c r="AA38" s="20">
        <f>IF(AB38="","",N(AB37)*(1+Start!$E$24/12)-AB38)</f>
        <v/>
      </c>
      <c r="AB38" s="20">
        <f>IF(OR(OR(Calc!$B$4=0,$B38&gt;IF(Start!$D$10="Avalanche",Calc!$B$3,Calc!$B$2)),Calc!$B$16=0),"",IF(N(AB37)&lt;=0.005,"",IF(Start!$D$10="Avalanche",INDEX(Calc!CT$75:CT$89,Calc!$F$16),INDEX(Calc!CT$50:CT$64,Calc!$D$16))))</f>
        <v/>
      </c>
      <c r="AC38" s="20">
        <f>IF(AD38="","",N(AD37)*(1+Start!$E$25/12)-AD38)</f>
        <v/>
      </c>
      <c r="AD38" s="20">
        <f>IF(OR(OR(Calc!$B$4=0,$B38&gt;IF(Start!$D$10="Avalanche",Calc!$B$3,Calc!$B$2)),Calc!$B$17=0),"",IF(N(AD37)&lt;=0.005,"",IF(Start!$D$10="Avalanche",INDEX(Calc!CT$75:CT$89,Calc!$F$17),INDEX(Calc!CT$50:CT$64,Calc!$D$17))))</f>
        <v/>
      </c>
      <c r="AE38" s="20">
        <f>IF(AF38="","",N(AF37)*(1+Start!$E$26/12)-AF38)</f>
        <v/>
      </c>
      <c r="AF38" s="20">
        <f>IF(OR(OR(Calc!$B$4=0,$B38&gt;IF(Start!$D$10="Avalanche",Calc!$B$3,Calc!$B$2)),Calc!$B$18=0),"",IF(N(AF37)&lt;=0.005,"",IF(Start!$D$10="Avalanche",INDEX(Calc!CT$75:CT$89,Calc!$F$18),INDEX(Calc!CT$50:CT$64,Calc!$D$18))))</f>
        <v/>
      </c>
      <c r="AG38" s="20">
        <f>IF(AH38="","",N(AH37)*(1+Start!$E$27/12)-AH38)</f>
        <v/>
      </c>
      <c r="AH38" s="20">
        <f>IF(OR(OR(Calc!$B$4=0,$B38&gt;IF(Start!$D$10="Avalanche",Calc!$B$3,Calc!$B$2)),Calc!$B$19=0),"",IF(N(AH37)&lt;=0.005,"",IF(Start!$D$10="Avalanche",INDEX(Calc!CT$75:CT$89,Calc!$F$19),INDEX(Calc!CT$50:CT$64,Calc!$D$19))))</f>
        <v/>
      </c>
      <c r="AI38" s="20">
        <f>IF(AJ38="","",N(AJ37)*(1+Start!$E$28/12)-AJ38)</f>
        <v/>
      </c>
      <c r="AJ38" s="20">
        <f>IF(OR(OR(Calc!$B$4=0,$B38&gt;IF(Start!$D$10="Avalanche",Calc!$B$3,Calc!$B$2)),Calc!$B$20=0),"",IF(N(AJ37)&lt;=0.005,"",IF(Start!$D$10="Avalanche",INDEX(Calc!CT$75:CT$89,Calc!$F$20),INDEX(Calc!CT$50:CT$64,Calc!$D$20))))</f>
        <v/>
      </c>
    </row>
    <row r="39">
      <c r="B39" s="17" t="n">
        <v>33</v>
      </c>
      <c r="C39" s="19">
        <f>IF(Calc!$B$4=0,"",EDATE(Start!$D$11,32))</f>
        <v/>
      </c>
      <c r="D39" s="20">
        <f>IF(OR(Calc!$B$4=0,$B39&gt;IF(Start!$D$10="Avalanche",Calc!$B$3,Calc!$B$2)),"",SUM(G39,I39,K39,M39,O39,Q39,S39,U39,W39,Y39,AA39,AC39,AE39,AG39,AI39))</f>
        <v/>
      </c>
      <c r="E39" s="20">
        <f>IF(OR(Calc!$B$4=0,$B39&gt;IF(Start!$D$10="Avalanche",Calc!$B$3,Calc!$B$2)),"",IF(Start!$D$10="Avalanche",Calc!CU$72,Calc!CU$47))</f>
        <v/>
      </c>
      <c r="F39" s="21">
        <f>IF(Calc!$B$4=0,"",IF($B39&gt;IF(Start!$D$10="Avalanche",Calc!$B$3,Calc!$B$2),NA(),SUM(H39,J39,L39,N39,P39,R39,T39,V39,X39,Z39,AB39,AD39,AF39,AH39,AJ39)))</f>
        <v/>
      </c>
      <c r="G39" s="20">
        <f>IF(H39="","",N(H38)*(1+Start!$E$14/12)-H39)</f>
        <v/>
      </c>
      <c r="H39" s="20">
        <f>IF(OR(OR(Calc!$B$4=0,$B39&gt;IF(Start!$D$10="Avalanche",Calc!$B$3,Calc!$B$2)),Calc!$B$6=0),"",IF(N(H38)&lt;=0.005,"",IF(Start!$D$10="Avalanche",INDEX(Calc!CW$75:CW$89,Calc!$F$6),INDEX(Calc!CW$50:CW$64,Calc!$D$6))))</f>
        <v/>
      </c>
      <c r="I39" s="20">
        <f>IF(J39="","",N(J38)*(1+Start!$E$15/12)-J39)</f>
        <v/>
      </c>
      <c r="J39" s="20">
        <f>IF(OR(OR(Calc!$B$4=0,$B39&gt;IF(Start!$D$10="Avalanche",Calc!$B$3,Calc!$B$2)),Calc!$B$7=0),"",IF(N(J38)&lt;=0.005,"",IF(Start!$D$10="Avalanche",INDEX(Calc!CW$75:CW$89,Calc!$F$7),INDEX(Calc!CW$50:CW$64,Calc!$D$7))))</f>
        <v/>
      </c>
      <c r="K39" s="20">
        <f>IF(L39="","",N(L38)*(1+Start!$E$16/12)-L39)</f>
        <v/>
      </c>
      <c r="L39" s="20">
        <f>IF(OR(OR(Calc!$B$4=0,$B39&gt;IF(Start!$D$10="Avalanche",Calc!$B$3,Calc!$B$2)),Calc!$B$8=0),"",IF(N(L38)&lt;=0.005,"",IF(Start!$D$10="Avalanche",INDEX(Calc!CW$75:CW$89,Calc!$F$8),INDEX(Calc!CW$50:CW$64,Calc!$D$8))))</f>
        <v/>
      </c>
      <c r="M39" s="20">
        <f>IF(N39="","",N(N38)*(1+Start!$E$17/12)-N39)</f>
        <v/>
      </c>
      <c r="N39" s="20">
        <f>IF(OR(OR(Calc!$B$4=0,$B39&gt;IF(Start!$D$10="Avalanche",Calc!$B$3,Calc!$B$2)),Calc!$B$9=0),"",IF(N(N38)&lt;=0.005,"",IF(Start!$D$10="Avalanche",INDEX(Calc!CW$75:CW$89,Calc!$F$9),INDEX(Calc!CW$50:CW$64,Calc!$D$9))))</f>
        <v/>
      </c>
      <c r="O39" s="20">
        <f>IF(P39="","",N(P38)*(1+Start!$E$18/12)-P39)</f>
        <v/>
      </c>
      <c r="P39" s="20">
        <f>IF(OR(OR(Calc!$B$4=0,$B39&gt;IF(Start!$D$10="Avalanche",Calc!$B$3,Calc!$B$2)),Calc!$B$10=0),"",IF(N(P38)&lt;=0.005,"",IF(Start!$D$10="Avalanche",INDEX(Calc!CW$75:CW$89,Calc!$F$10),INDEX(Calc!CW$50:CW$64,Calc!$D$10))))</f>
        <v/>
      </c>
      <c r="Q39" s="20">
        <f>IF(R39="","",N(R38)*(1+Start!$E$19/12)-R39)</f>
        <v/>
      </c>
      <c r="R39" s="20">
        <f>IF(OR(OR(Calc!$B$4=0,$B39&gt;IF(Start!$D$10="Avalanche",Calc!$B$3,Calc!$B$2)),Calc!$B$11=0),"",IF(N(R38)&lt;=0.005,"",IF(Start!$D$10="Avalanche",INDEX(Calc!CW$75:CW$89,Calc!$F$11),INDEX(Calc!CW$50:CW$64,Calc!$D$11))))</f>
        <v/>
      </c>
      <c r="S39" s="20">
        <f>IF(T39="","",N(T38)*(1+Start!$E$20/12)-T39)</f>
        <v/>
      </c>
      <c r="T39" s="20">
        <f>IF(OR(OR(Calc!$B$4=0,$B39&gt;IF(Start!$D$10="Avalanche",Calc!$B$3,Calc!$B$2)),Calc!$B$12=0),"",IF(N(T38)&lt;=0.005,"",IF(Start!$D$10="Avalanche",INDEX(Calc!CW$75:CW$89,Calc!$F$12),INDEX(Calc!CW$50:CW$64,Calc!$D$12))))</f>
        <v/>
      </c>
      <c r="U39" s="20">
        <f>IF(V39="","",N(V38)*(1+Start!$E$21/12)-V39)</f>
        <v/>
      </c>
      <c r="V39" s="20">
        <f>IF(OR(OR(Calc!$B$4=0,$B39&gt;IF(Start!$D$10="Avalanche",Calc!$B$3,Calc!$B$2)),Calc!$B$13=0),"",IF(N(V38)&lt;=0.005,"",IF(Start!$D$10="Avalanche",INDEX(Calc!CW$75:CW$89,Calc!$F$13),INDEX(Calc!CW$50:CW$64,Calc!$D$13))))</f>
        <v/>
      </c>
      <c r="W39" s="20">
        <f>IF(X39="","",N(X38)*(1+Start!$E$22/12)-X39)</f>
        <v/>
      </c>
      <c r="X39" s="20">
        <f>IF(OR(OR(Calc!$B$4=0,$B39&gt;IF(Start!$D$10="Avalanche",Calc!$B$3,Calc!$B$2)),Calc!$B$14=0),"",IF(N(X38)&lt;=0.005,"",IF(Start!$D$10="Avalanche",INDEX(Calc!CW$75:CW$89,Calc!$F$14),INDEX(Calc!CW$50:CW$64,Calc!$D$14))))</f>
        <v/>
      </c>
      <c r="Y39" s="20">
        <f>IF(Z39="","",N(Z38)*(1+Start!$E$23/12)-Z39)</f>
        <v/>
      </c>
      <c r="Z39" s="20">
        <f>IF(OR(OR(Calc!$B$4=0,$B39&gt;IF(Start!$D$10="Avalanche",Calc!$B$3,Calc!$B$2)),Calc!$B$15=0),"",IF(N(Z38)&lt;=0.005,"",IF(Start!$D$10="Avalanche",INDEX(Calc!CW$75:CW$89,Calc!$F$15),INDEX(Calc!CW$50:CW$64,Calc!$D$15))))</f>
        <v/>
      </c>
      <c r="AA39" s="20">
        <f>IF(AB39="","",N(AB38)*(1+Start!$E$24/12)-AB39)</f>
        <v/>
      </c>
      <c r="AB39" s="20">
        <f>IF(OR(OR(Calc!$B$4=0,$B39&gt;IF(Start!$D$10="Avalanche",Calc!$B$3,Calc!$B$2)),Calc!$B$16=0),"",IF(N(AB38)&lt;=0.005,"",IF(Start!$D$10="Avalanche",INDEX(Calc!CW$75:CW$89,Calc!$F$16),INDEX(Calc!CW$50:CW$64,Calc!$D$16))))</f>
        <v/>
      </c>
      <c r="AC39" s="20">
        <f>IF(AD39="","",N(AD38)*(1+Start!$E$25/12)-AD39)</f>
        <v/>
      </c>
      <c r="AD39" s="20">
        <f>IF(OR(OR(Calc!$B$4=0,$B39&gt;IF(Start!$D$10="Avalanche",Calc!$B$3,Calc!$B$2)),Calc!$B$17=0),"",IF(N(AD38)&lt;=0.005,"",IF(Start!$D$10="Avalanche",INDEX(Calc!CW$75:CW$89,Calc!$F$17),INDEX(Calc!CW$50:CW$64,Calc!$D$17))))</f>
        <v/>
      </c>
      <c r="AE39" s="20">
        <f>IF(AF39="","",N(AF38)*(1+Start!$E$26/12)-AF39)</f>
        <v/>
      </c>
      <c r="AF39" s="20">
        <f>IF(OR(OR(Calc!$B$4=0,$B39&gt;IF(Start!$D$10="Avalanche",Calc!$B$3,Calc!$B$2)),Calc!$B$18=0),"",IF(N(AF38)&lt;=0.005,"",IF(Start!$D$10="Avalanche",INDEX(Calc!CW$75:CW$89,Calc!$F$18),INDEX(Calc!CW$50:CW$64,Calc!$D$18))))</f>
        <v/>
      </c>
      <c r="AG39" s="20">
        <f>IF(AH39="","",N(AH38)*(1+Start!$E$27/12)-AH39)</f>
        <v/>
      </c>
      <c r="AH39" s="20">
        <f>IF(OR(OR(Calc!$B$4=0,$B39&gt;IF(Start!$D$10="Avalanche",Calc!$B$3,Calc!$B$2)),Calc!$B$19=0),"",IF(N(AH38)&lt;=0.005,"",IF(Start!$D$10="Avalanche",INDEX(Calc!CW$75:CW$89,Calc!$F$19),INDEX(Calc!CW$50:CW$64,Calc!$D$19))))</f>
        <v/>
      </c>
      <c r="AI39" s="20">
        <f>IF(AJ39="","",N(AJ38)*(1+Start!$E$28/12)-AJ39)</f>
        <v/>
      </c>
      <c r="AJ39" s="20">
        <f>IF(OR(OR(Calc!$B$4=0,$B39&gt;IF(Start!$D$10="Avalanche",Calc!$B$3,Calc!$B$2)),Calc!$B$20=0),"",IF(N(AJ38)&lt;=0.005,"",IF(Start!$D$10="Avalanche",INDEX(Calc!CW$75:CW$89,Calc!$F$20),INDEX(Calc!CW$50:CW$64,Calc!$D$20))))</f>
        <v/>
      </c>
    </row>
    <row r="40">
      <c r="B40" s="17" t="n">
        <v>34</v>
      </c>
      <c r="C40" s="19">
        <f>IF(Calc!$B$4=0,"",EDATE(Start!$D$11,33))</f>
        <v/>
      </c>
      <c r="D40" s="20">
        <f>IF(OR(Calc!$B$4=0,$B40&gt;IF(Start!$D$10="Avalanche",Calc!$B$3,Calc!$B$2)),"",SUM(G40,I40,K40,M40,O40,Q40,S40,U40,W40,Y40,AA40,AC40,AE40,AG40,AI40))</f>
        <v/>
      </c>
      <c r="E40" s="20">
        <f>IF(OR(Calc!$B$4=0,$B40&gt;IF(Start!$D$10="Avalanche",Calc!$B$3,Calc!$B$2)),"",IF(Start!$D$10="Avalanche",Calc!CX$72,Calc!CX$47))</f>
        <v/>
      </c>
      <c r="F40" s="21">
        <f>IF(Calc!$B$4=0,"",IF($B40&gt;IF(Start!$D$10="Avalanche",Calc!$B$3,Calc!$B$2),NA(),SUM(H40,J40,L40,N40,P40,R40,T40,V40,X40,Z40,AB40,AD40,AF40,AH40,AJ40)))</f>
        <v/>
      </c>
      <c r="G40" s="20">
        <f>IF(H40="","",N(H39)*(1+Start!$E$14/12)-H40)</f>
        <v/>
      </c>
      <c r="H40" s="20">
        <f>IF(OR(OR(Calc!$B$4=0,$B40&gt;IF(Start!$D$10="Avalanche",Calc!$B$3,Calc!$B$2)),Calc!$B$6=0),"",IF(N(H39)&lt;=0.005,"",IF(Start!$D$10="Avalanche",INDEX(Calc!CZ$75:CZ$89,Calc!$F$6),INDEX(Calc!CZ$50:CZ$64,Calc!$D$6))))</f>
        <v/>
      </c>
      <c r="I40" s="20">
        <f>IF(J40="","",N(J39)*(1+Start!$E$15/12)-J40)</f>
        <v/>
      </c>
      <c r="J40" s="20">
        <f>IF(OR(OR(Calc!$B$4=0,$B40&gt;IF(Start!$D$10="Avalanche",Calc!$B$3,Calc!$B$2)),Calc!$B$7=0),"",IF(N(J39)&lt;=0.005,"",IF(Start!$D$10="Avalanche",INDEX(Calc!CZ$75:CZ$89,Calc!$F$7),INDEX(Calc!CZ$50:CZ$64,Calc!$D$7))))</f>
        <v/>
      </c>
      <c r="K40" s="20">
        <f>IF(L40="","",N(L39)*(1+Start!$E$16/12)-L40)</f>
        <v/>
      </c>
      <c r="L40" s="20">
        <f>IF(OR(OR(Calc!$B$4=0,$B40&gt;IF(Start!$D$10="Avalanche",Calc!$B$3,Calc!$B$2)),Calc!$B$8=0),"",IF(N(L39)&lt;=0.005,"",IF(Start!$D$10="Avalanche",INDEX(Calc!CZ$75:CZ$89,Calc!$F$8),INDEX(Calc!CZ$50:CZ$64,Calc!$D$8))))</f>
        <v/>
      </c>
      <c r="M40" s="20">
        <f>IF(N40="","",N(N39)*(1+Start!$E$17/12)-N40)</f>
        <v/>
      </c>
      <c r="N40" s="20">
        <f>IF(OR(OR(Calc!$B$4=0,$B40&gt;IF(Start!$D$10="Avalanche",Calc!$B$3,Calc!$B$2)),Calc!$B$9=0),"",IF(N(N39)&lt;=0.005,"",IF(Start!$D$10="Avalanche",INDEX(Calc!CZ$75:CZ$89,Calc!$F$9),INDEX(Calc!CZ$50:CZ$64,Calc!$D$9))))</f>
        <v/>
      </c>
      <c r="O40" s="20">
        <f>IF(P40="","",N(P39)*(1+Start!$E$18/12)-P40)</f>
        <v/>
      </c>
      <c r="P40" s="20">
        <f>IF(OR(OR(Calc!$B$4=0,$B40&gt;IF(Start!$D$10="Avalanche",Calc!$B$3,Calc!$B$2)),Calc!$B$10=0),"",IF(N(P39)&lt;=0.005,"",IF(Start!$D$10="Avalanche",INDEX(Calc!CZ$75:CZ$89,Calc!$F$10),INDEX(Calc!CZ$50:CZ$64,Calc!$D$10))))</f>
        <v/>
      </c>
      <c r="Q40" s="20">
        <f>IF(R40="","",N(R39)*(1+Start!$E$19/12)-R40)</f>
        <v/>
      </c>
      <c r="R40" s="20">
        <f>IF(OR(OR(Calc!$B$4=0,$B40&gt;IF(Start!$D$10="Avalanche",Calc!$B$3,Calc!$B$2)),Calc!$B$11=0),"",IF(N(R39)&lt;=0.005,"",IF(Start!$D$10="Avalanche",INDEX(Calc!CZ$75:CZ$89,Calc!$F$11),INDEX(Calc!CZ$50:CZ$64,Calc!$D$11))))</f>
        <v/>
      </c>
      <c r="S40" s="20">
        <f>IF(T40="","",N(T39)*(1+Start!$E$20/12)-T40)</f>
        <v/>
      </c>
      <c r="T40" s="20">
        <f>IF(OR(OR(Calc!$B$4=0,$B40&gt;IF(Start!$D$10="Avalanche",Calc!$B$3,Calc!$B$2)),Calc!$B$12=0),"",IF(N(T39)&lt;=0.005,"",IF(Start!$D$10="Avalanche",INDEX(Calc!CZ$75:CZ$89,Calc!$F$12),INDEX(Calc!CZ$50:CZ$64,Calc!$D$12))))</f>
        <v/>
      </c>
      <c r="U40" s="20">
        <f>IF(V40="","",N(V39)*(1+Start!$E$21/12)-V40)</f>
        <v/>
      </c>
      <c r="V40" s="20">
        <f>IF(OR(OR(Calc!$B$4=0,$B40&gt;IF(Start!$D$10="Avalanche",Calc!$B$3,Calc!$B$2)),Calc!$B$13=0),"",IF(N(V39)&lt;=0.005,"",IF(Start!$D$10="Avalanche",INDEX(Calc!CZ$75:CZ$89,Calc!$F$13),INDEX(Calc!CZ$50:CZ$64,Calc!$D$13))))</f>
        <v/>
      </c>
      <c r="W40" s="20">
        <f>IF(X40="","",N(X39)*(1+Start!$E$22/12)-X40)</f>
        <v/>
      </c>
      <c r="X40" s="20">
        <f>IF(OR(OR(Calc!$B$4=0,$B40&gt;IF(Start!$D$10="Avalanche",Calc!$B$3,Calc!$B$2)),Calc!$B$14=0),"",IF(N(X39)&lt;=0.005,"",IF(Start!$D$10="Avalanche",INDEX(Calc!CZ$75:CZ$89,Calc!$F$14),INDEX(Calc!CZ$50:CZ$64,Calc!$D$14))))</f>
        <v/>
      </c>
      <c r="Y40" s="20">
        <f>IF(Z40="","",N(Z39)*(1+Start!$E$23/12)-Z40)</f>
        <v/>
      </c>
      <c r="Z40" s="20">
        <f>IF(OR(OR(Calc!$B$4=0,$B40&gt;IF(Start!$D$10="Avalanche",Calc!$B$3,Calc!$B$2)),Calc!$B$15=0),"",IF(N(Z39)&lt;=0.005,"",IF(Start!$D$10="Avalanche",INDEX(Calc!CZ$75:CZ$89,Calc!$F$15),INDEX(Calc!CZ$50:CZ$64,Calc!$D$15))))</f>
        <v/>
      </c>
      <c r="AA40" s="20">
        <f>IF(AB40="","",N(AB39)*(1+Start!$E$24/12)-AB40)</f>
        <v/>
      </c>
      <c r="AB40" s="20">
        <f>IF(OR(OR(Calc!$B$4=0,$B40&gt;IF(Start!$D$10="Avalanche",Calc!$B$3,Calc!$B$2)),Calc!$B$16=0),"",IF(N(AB39)&lt;=0.005,"",IF(Start!$D$10="Avalanche",INDEX(Calc!CZ$75:CZ$89,Calc!$F$16),INDEX(Calc!CZ$50:CZ$64,Calc!$D$16))))</f>
        <v/>
      </c>
      <c r="AC40" s="20">
        <f>IF(AD40="","",N(AD39)*(1+Start!$E$25/12)-AD40)</f>
        <v/>
      </c>
      <c r="AD40" s="20">
        <f>IF(OR(OR(Calc!$B$4=0,$B40&gt;IF(Start!$D$10="Avalanche",Calc!$B$3,Calc!$B$2)),Calc!$B$17=0),"",IF(N(AD39)&lt;=0.005,"",IF(Start!$D$10="Avalanche",INDEX(Calc!CZ$75:CZ$89,Calc!$F$17),INDEX(Calc!CZ$50:CZ$64,Calc!$D$17))))</f>
        <v/>
      </c>
      <c r="AE40" s="20">
        <f>IF(AF40="","",N(AF39)*(1+Start!$E$26/12)-AF40)</f>
        <v/>
      </c>
      <c r="AF40" s="20">
        <f>IF(OR(OR(Calc!$B$4=0,$B40&gt;IF(Start!$D$10="Avalanche",Calc!$B$3,Calc!$B$2)),Calc!$B$18=0),"",IF(N(AF39)&lt;=0.005,"",IF(Start!$D$10="Avalanche",INDEX(Calc!CZ$75:CZ$89,Calc!$F$18),INDEX(Calc!CZ$50:CZ$64,Calc!$D$18))))</f>
        <v/>
      </c>
      <c r="AG40" s="20">
        <f>IF(AH40="","",N(AH39)*(1+Start!$E$27/12)-AH40)</f>
        <v/>
      </c>
      <c r="AH40" s="20">
        <f>IF(OR(OR(Calc!$B$4=0,$B40&gt;IF(Start!$D$10="Avalanche",Calc!$B$3,Calc!$B$2)),Calc!$B$19=0),"",IF(N(AH39)&lt;=0.005,"",IF(Start!$D$10="Avalanche",INDEX(Calc!CZ$75:CZ$89,Calc!$F$19),INDEX(Calc!CZ$50:CZ$64,Calc!$D$19))))</f>
        <v/>
      </c>
      <c r="AI40" s="20">
        <f>IF(AJ40="","",N(AJ39)*(1+Start!$E$28/12)-AJ40)</f>
        <v/>
      </c>
      <c r="AJ40" s="20">
        <f>IF(OR(OR(Calc!$B$4=0,$B40&gt;IF(Start!$D$10="Avalanche",Calc!$B$3,Calc!$B$2)),Calc!$B$20=0),"",IF(N(AJ39)&lt;=0.005,"",IF(Start!$D$10="Avalanche",INDEX(Calc!CZ$75:CZ$89,Calc!$F$20),INDEX(Calc!CZ$50:CZ$64,Calc!$D$20))))</f>
        <v/>
      </c>
    </row>
    <row r="41">
      <c r="B41" s="17" t="n">
        <v>35</v>
      </c>
      <c r="C41" s="19">
        <f>IF(Calc!$B$4=0,"",EDATE(Start!$D$11,34))</f>
        <v/>
      </c>
      <c r="D41" s="20">
        <f>IF(OR(Calc!$B$4=0,$B41&gt;IF(Start!$D$10="Avalanche",Calc!$B$3,Calc!$B$2)),"",SUM(G41,I41,K41,M41,O41,Q41,S41,U41,W41,Y41,AA41,AC41,AE41,AG41,AI41))</f>
        <v/>
      </c>
      <c r="E41" s="20">
        <f>IF(OR(Calc!$B$4=0,$B41&gt;IF(Start!$D$10="Avalanche",Calc!$B$3,Calc!$B$2)),"",IF(Start!$D$10="Avalanche",Calc!DA$72,Calc!DA$47))</f>
        <v/>
      </c>
      <c r="F41" s="21">
        <f>IF(Calc!$B$4=0,"",IF($B41&gt;IF(Start!$D$10="Avalanche",Calc!$B$3,Calc!$B$2),NA(),SUM(H41,J41,L41,N41,P41,R41,T41,V41,X41,Z41,AB41,AD41,AF41,AH41,AJ41)))</f>
        <v/>
      </c>
      <c r="G41" s="20">
        <f>IF(H41="","",N(H40)*(1+Start!$E$14/12)-H41)</f>
        <v/>
      </c>
      <c r="H41" s="20">
        <f>IF(OR(OR(Calc!$B$4=0,$B41&gt;IF(Start!$D$10="Avalanche",Calc!$B$3,Calc!$B$2)),Calc!$B$6=0),"",IF(N(H40)&lt;=0.005,"",IF(Start!$D$10="Avalanche",INDEX(Calc!DC$75:DC$89,Calc!$F$6),INDEX(Calc!DC$50:DC$64,Calc!$D$6))))</f>
        <v/>
      </c>
      <c r="I41" s="20">
        <f>IF(J41="","",N(J40)*(1+Start!$E$15/12)-J41)</f>
        <v/>
      </c>
      <c r="J41" s="20">
        <f>IF(OR(OR(Calc!$B$4=0,$B41&gt;IF(Start!$D$10="Avalanche",Calc!$B$3,Calc!$B$2)),Calc!$B$7=0),"",IF(N(J40)&lt;=0.005,"",IF(Start!$D$10="Avalanche",INDEX(Calc!DC$75:DC$89,Calc!$F$7),INDEX(Calc!DC$50:DC$64,Calc!$D$7))))</f>
        <v/>
      </c>
      <c r="K41" s="20">
        <f>IF(L41="","",N(L40)*(1+Start!$E$16/12)-L41)</f>
        <v/>
      </c>
      <c r="L41" s="20">
        <f>IF(OR(OR(Calc!$B$4=0,$B41&gt;IF(Start!$D$10="Avalanche",Calc!$B$3,Calc!$B$2)),Calc!$B$8=0),"",IF(N(L40)&lt;=0.005,"",IF(Start!$D$10="Avalanche",INDEX(Calc!DC$75:DC$89,Calc!$F$8),INDEX(Calc!DC$50:DC$64,Calc!$D$8))))</f>
        <v/>
      </c>
      <c r="M41" s="20">
        <f>IF(N41="","",N(N40)*(1+Start!$E$17/12)-N41)</f>
        <v/>
      </c>
      <c r="N41" s="20">
        <f>IF(OR(OR(Calc!$B$4=0,$B41&gt;IF(Start!$D$10="Avalanche",Calc!$B$3,Calc!$B$2)),Calc!$B$9=0),"",IF(N(N40)&lt;=0.005,"",IF(Start!$D$10="Avalanche",INDEX(Calc!DC$75:DC$89,Calc!$F$9),INDEX(Calc!DC$50:DC$64,Calc!$D$9))))</f>
        <v/>
      </c>
      <c r="O41" s="20">
        <f>IF(P41="","",N(P40)*(1+Start!$E$18/12)-P41)</f>
        <v/>
      </c>
      <c r="P41" s="20">
        <f>IF(OR(OR(Calc!$B$4=0,$B41&gt;IF(Start!$D$10="Avalanche",Calc!$B$3,Calc!$B$2)),Calc!$B$10=0),"",IF(N(P40)&lt;=0.005,"",IF(Start!$D$10="Avalanche",INDEX(Calc!DC$75:DC$89,Calc!$F$10),INDEX(Calc!DC$50:DC$64,Calc!$D$10))))</f>
        <v/>
      </c>
      <c r="Q41" s="20">
        <f>IF(R41="","",N(R40)*(1+Start!$E$19/12)-R41)</f>
        <v/>
      </c>
      <c r="R41" s="20">
        <f>IF(OR(OR(Calc!$B$4=0,$B41&gt;IF(Start!$D$10="Avalanche",Calc!$B$3,Calc!$B$2)),Calc!$B$11=0),"",IF(N(R40)&lt;=0.005,"",IF(Start!$D$10="Avalanche",INDEX(Calc!DC$75:DC$89,Calc!$F$11),INDEX(Calc!DC$50:DC$64,Calc!$D$11))))</f>
        <v/>
      </c>
      <c r="S41" s="20">
        <f>IF(T41="","",N(T40)*(1+Start!$E$20/12)-T41)</f>
        <v/>
      </c>
      <c r="T41" s="20">
        <f>IF(OR(OR(Calc!$B$4=0,$B41&gt;IF(Start!$D$10="Avalanche",Calc!$B$3,Calc!$B$2)),Calc!$B$12=0),"",IF(N(T40)&lt;=0.005,"",IF(Start!$D$10="Avalanche",INDEX(Calc!DC$75:DC$89,Calc!$F$12),INDEX(Calc!DC$50:DC$64,Calc!$D$12))))</f>
        <v/>
      </c>
      <c r="U41" s="20">
        <f>IF(V41="","",N(V40)*(1+Start!$E$21/12)-V41)</f>
        <v/>
      </c>
      <c r="V41" s="20">
        <f>IF(OR(OR(Calc!$B$4=0,$B41&gt;IF(Start!$D$10="Avalanche",Calc!$B$3,Calc!$B$2)),Calc!$B$13=0),"",IF(N(V40)&lt;=0.005,"",IF(Start!$D$10="Avalanche",INDEX(Calc!DC$75:DC$89,Calc!$F$13),INDEX(Calc!DC$50:DC$64,Calc!$D$13))))</f>
        <v/>
      </c>
      <c r="W41" s="20">
        <f>IF(X41="","",N(X40)*(1+Start!$E$22/12)-X41)</f>
        <v/>
      </c>
      <c r="X41" s="20">
        <f>IF(OR(OR(Calc!$B$4=0,$B41&gt;IF(Start!$D$10="Avalanche",Calc!$B$3,Calc!$B$2)),Calc!$B$14=0),"",IF(N(X40)&lt;=0.005,"",IF(Start!$D$10="Avalanche",INDEX(Calc!DC$75:DC$89,Calc!$F$14),INDEX(Calc!DC$50:DC$64,Calc!$D$14))))</f>
        <v/>
      </c>
      <c r="Y41" s="20">
        <f>IF(Z41="","",N(Z40)*(1+Start!$E$23/12)-Z41)</f>
        <v/>
      </c>
      <c r="Z41" s="20">
        <f>IF(OR(OR(Calc!$B$4=0,$B41&gt;IF(Start!$D$10="Avalanche",Calc!$B$3,Calc!$B$2)),Calc!$B$15=0),"",IF(N(Z40)&lt;=0.005,"",IF(Start!$D$10="Avalanche",INDEX(Calc!DC$75:DC$89,Calc!$F$15),INDEX(Calc!DC$50:DC$64,Calc!$D$15))))</f>
        <v/>
      </c>
      <c r="AA41" s="20">
        <f>IF(AB41="","",N(AB40)*(1+Start!$E$24/12)-AB41)</f>
        <v/>
      </c>
      <c r="AB41" s="20">
        <f>IF(OR(OR(Calc!$B$4=0,$B41&gt;IF(Start!$D$10="Avalanche",Calc!$B$3,Calc!$B$2)),Calc!$B$16=0),"",IF(N(AB40)&lt;=0.005,"",IF(Start!$D$10="Avalanche",INDEX(Calc!DC$75:DC$89,Calc!$F$16),INDEX(Calc!DC$50:DC$64,Calc!$D$16))))</f>
        <v/>
      </c>
      <c r="AC41" s="20">
        <f>IF(AD41="","",N(AD40)*(1+Start!$E$25/12)-AD41)</f>
        <v/>
      </c>
      <c r="AD41" s="20">
        <f>IF(OR(OR(Calc!$B$4=0,$B41&gt;IF(Start!$D$10="Avalanche",Calc!$B$3,Calc!$B$2)),Calc!$B$17=0),"",IF(N(AD40)&lt;=0.005,"",IF(Start!$D$10="Avalanche",INDEX(Calc!DC$75:DC$89,Calc!$F$17),INDEX(Calc!DC$50:DC$64,Calc!$D$17))))</f>
        <v/>
      </c>
      <c r="AE41" s="20">
        <f>IF(AF41="","",N(AF40)*(1+Start!$E$26/12)-AF41)</f>
        <v/>
      </c>
      <c r="AF41" s="20">
        <f>IF(OR(OR(Calc!$B$4=0,$B41&gt;IF(Start!$D$10="Avalanche",Calc!$B$3,Calc!$B$2)),Calc!$B$18=0),"",IF(N(AF40)&lt;=0.005,"",IF(Start!$D$10="Avalanche",INDEX(Calc!DC$75:DC$89,Calc!$F$18),INDEX(Calc!DC$50:DC$64,Calc!$D$18))))</f>
        <v/>
      </c>
      <c r="AG41" s="20">
        <f>IF(AH41="","",N(AH40)*(1+Start!$E$27/12)-AH41)</f>
        <v/>
      </c>
      <c r="AH41" s="20">
        <f>IF(OR(OR(Calc!$B$4=0,$B41&gt;IF(Start!$D$10="Avalanche",Calc!$B$3,Calc!$B$2)),Calc!$B$19=0),"",IF(N(AH40)&lt;=0.005,"",IF(Start!$D$10="Avalanche",INDEX(Calc!DC$75:DC$89,Calc!$F$19),INDEX(Calc!DC$50:DC$64,Calc!$D$19))))</f>
        <v/>
      </c>
      <c r="AI41" s="20">
        <f>IF(AJ41="","",N(AJ40)*(1+Start!$E$28/12)-AJ41)</f>
        <v/>
      </c>
      <c r="AJ41" s="20">
        <f>IF(OR(OR(Calc!$B$4=0,$B41&gt;IF(Start!$D$10="Avalanche",Calc!$B$3,Calc!$B$2)),Calc!$B$20=0),"",IF(N(AJ40)&lt;=0.005,"",IF(Start!$D$10="Avalanche",INDEX(Calc!DC$75:DC$89,Calc!$F$20),INDEX(Calc!DC$50:DC$64,Calc!$D$20))))</f>
        <v/>
      </c>
    </row>
    <row r="42">
      <c r="B42" s="17" t="n">
        <v>36</v>
      </c>
      <c r="C42" s="19">
        <f>IF(Calc!$B$4=0,"",EDATE(Start!$D$11,35))</f>
        <v/>
      </c>
      <c r="D42" s="20">
        <f>IF(OR(Calc!$B$4=0,$B42&gt;IF(Start!$D$10="Avalanche",Calc!$B$3,Calc!$B$2)),"",SUM(G42,I42,K42,M42,O42,Q42,S42,U42,W42,Y42,AA42,AC42,AE42,AG42,AI42))</f>
        <v/>
      </c>
      <c r="E42" s="20">
        <f>IF(OR(Calc!$B$4=0,$B42&gt;IF(Start!$D$10="Avalanche",Calc!$B$3,Calc!$B$2)),"",IF(Start!$D$10="Avalanche",Calc!DD$72,Calc!DD$47))</f>
        <v/>
      </c>
      <c r="F42" s="21">
        <f>IF(Calc!$B$4=0,"",IF($B42&gt;IF(Start!$D$10="Avalanche",Calc!$B$3,Calc!$B$2),NA(),SUM(H42,J42,L42,N42,P42,R42,T42,V42,X42,Z42,AB42,AD42,AF42,AH42,AJ42)))</f>
        <v/>
      </c>
      <c r="G42" s="20">
        <f>IF(H42="","",N(H41)*(1+Start!$E$14/12)-H42)</f>
        <v/>
      </c>
      <c r="H42" s="20">
        <f>IF(OR(OR(Calc!$B$4=0,$B42&gt;IF(Start!$D$10="Avalanche",Calc!$B$3,Calc!$B$2)),Calc!$B$6=0),"",IF(N(H41)&lt;=0.005,"",IF(Start!$D$10="Avalanche",INDEX(Calc!DF$75:DF$89,Calc!$F$6),INDEX(Calc!DF$50:DF$64,Calc!$D$6))))</f>
        <v/>
      </c>
      <c r="I42" s="20">
        <f>IF(J42="","",N(J41)*(1+Start!$E$15/12)-J42)</f>
        <v/>
      </c>
      <c r="J42" s="20">
        <f>IF(OR(OR(Calc!$B$4=0,$B42&gt;IF(Start!$D$10="Avalanche",Calc!$B$3,Calc!$B$2)),Calc!$B$7=0),"",IF(N(J41)&lt;=0.005,"",IF(Start!$D$10="Avalanche",INDEX(Calc!DF$75:DF$89,Calc!$F$7),INDEX(Calc!DF$50:DF$64,Calc!$D$7))))</f>
        <v/>
      </c>
      <c r="K42" s="20">
        <f>IF(L42="","",N(L41)*(1+Start!$E$16/12)-L42)</f>
        <v/>
      </c>
      <c r="L42" s="20">
        <f>IF(OR(OR(Calc!$B$4=0,$B42&gt;IF(Start!$D$10="Avalanche",Calc!$B$3,Calc!$B$2)),Calc!$B$8=0),"",IF(N(L41)&lt;=0.005,"",IF(Start!$D$10="Avalanche",INDEX(Calc!DF$75:DF$89,Calc!$F$8),INDEX(Calc!DF$50:DF$64,Calc!$D$8))))</f>
        <v/>
      </c>
      <c r="M42" s="20">
        <f>IF(N42="","",N(N41)*(1+Start!$E$17/12)-N42)</f>
        <v/>
      </c>
      <c r="N42" s="20">
        <f>IF(OR(OR(Calc!$B$4=0,$B42&gt;IF(Start!$D$10="Avalanche",Calc!$B$3,Calc!$B$2)),Calc!$B$9=0),"",IF(N(N41)&lt;=0.005,"",IF(Start!$D$10="Avalanche",INDEX(Calc!DF$75:DF$89,Calc!$F$9),INDEX(Calc!DF$50:DF$64,Calc!$D$9))))</f>
        <v/>
      </c>
      <c r="O42" s="20">
        <f>IF(P42="","",N(P41)*(1+Start!$E$18/12)-P42)</f>
        <v/>
      </c>
      <c r="P42" s="20">
        <f>IF(OR(OR(Calc!$B$4=0,$B42&gt;IF(Start!$D$10="Avalanche",Calc!$B$3,Calc!$B$2)),Calc!$B$10=0),"",IF(N(P41)&lt;=0.005,"",IF(Start!$D$10="Avalanche",INDEX(Calc!DF$75:DF$89,Calc!$F$10),INDEX(Calc!DF$50:DF$64,Calc!$D$10))))</f>
        <v/>
      </c>
      <c r="Q42" s="20">
        <f>IF(R42="","",N(R41)*(1+Start!$E$19/12)-R42)</f>
        <v/>
      </c>
      <c r="R42" s="20">
        <f>IF(OR(OR(Calc!$B$4=0,$B42&gt;IF(Start!$D$10="Avalanche",Calc!$B$3,Calc!$B$2)),Calc!$B$11=0),"",IF(N(R41)&lt;=0.005,"",IF(Start!$D$10="Avalanche",INDEX(Calc!DF$75:DF$89,Calc!$F$11),INDEX(Calc!DF$50:DF$64,Calc!$D$11))))</f>
        <v/>
      </c>
      <c r="S42" s="20">
        <f>IF(T42="","",N(T41)*(1+Start!$E$20/12)-T42)</f>
        <v/>
      </c>
      <c r="T42" s="20">
        <f>IF(OR(OR(Calc!$B$4=0,$B42&gt;IF(Start!$D$10="Avalanche",Calc!$B$3,Calc!$B$2)),Calc!$B$12=0),"",IF(N(T41)&lt;=0.005,"",IF(Start!$D$10="Avalanche",INDEX(Calc!DF$75:DF$89,Calc!$F$12),INDEX(Calc!DF$50:DF$64,Calc!$D$12))))</f>
        <v/>
      </c>
      <c r="U42" s="20">
        <f>IF(V42="","",N(V41)*(1+Start!$E$21/12)-V42)</f>
        <v/>
      </c>
      <c r="V42" s="20">
        <f>IF(OR(OR(Calc!$B$4=0,$B42&gt;IF(Start!$D$10="Avalanche",Calc!$B$3,Calc!$B$2)),Calc!$B$13=0),"",IF(N(V41)&lt;=0.005,"",IF(Start!$D$10="Avalanche",INDEX(Calc!DF$75:DF$89,Calc!$F$13),INDEX(Calc!DF$50:DF$64,Calc!$D$13))))</f>
        <v/>
      </c>
      <c r="W42" s="20">
        <f>IF(X42="","",N(X41)*(1+Start!$E$22/12)-X42)</f>
        <v/>
      </c>
      <c r="X42" s="20">
        <f>IF(OR(OR(Calc!$B$4=0,$B42&gt;IF(Start!$D$10="Avalanche",Calc!$B$3,Calc!$B$2)),Calc!$B$14=0),"",IF(N(X41)&lt;=0.005,"",IF(Start!$D$10="Avalanche",INDEX(Calc!DF$75:DF$89,Calc!$F$14),INDEX(Calc!DF$50:DF$64,Calc!$D$14))))</f>
        <v/>
      </c>
      <c r="Y42" s="20">
        <f>IF(Z42="","",N(Z41)*(1+Start!$E$23/12)-Z42)</f>
        <v/>
      </c>
      <c r="Z42" s="20">
        <f>IF(OR(OR(Calc!$B$4=0,$B42&gt;IF(Start!$D$10="Avalanche",Calc!$B$3,Calc!$B$2)),Calc!$B$15=0),"",IF(N(Z41)&lt;=0.005,"",IF(Start!$D$10="Avalanche",INDEX(Calc!DF$75:DF$89,Calc!$F$15),INDEX(Calc!DF$50:DF$64,Calc!$D$15))))</f>
        <v/>
      </c>
      <c r="AA42" s="20">
        <f>IF(AB42="","",N(AB41)*(1+Start!$E$24/12)-AB42)</f>
        <v/>
      </c>
      <c r="AB42" s="20">
        <f>IF(OR(OR(Calc!$B$4=0,$B42&gt;IF(Start!$D$10="Avalanche",Calc!$B$3,Calc!$B$2)),Calc!$B$16=0),"",IF(N(AB41)&lt;=0.005,"",IF(Start!$D$10="Avalanche",INDEX(Calc!DF$75:DF$89,Calc!$F$16),INDEX(Calc!DF$50:DF$64,Calc!$D$16))))</f>
        <v/>
      </c>
      <c r="AC42" s="20">
        <f>IF(AD42="","",N(AD41)*(1+Start!$E$25/12)-AD42)</f>
        <v/>
      </c>
      <c r="AD42" s="20">
        <f>IF(OR(OR(Calc!$B$4=0,$B42&gt;IF(Start!$D$10="Avalanche",Calc!$B$3,Calc!$B$2)),Calc!$B$17=0),"",IF(N(AD41)&lt;=0.005,"",IF(Start!$D$10="Avalanche",INDEX(Calc!DF$75:DF$89,Calc!$F$17),INDEX(Calc!DF$50:DF$64,Calc!$D$17))))</f>
        <v/>
      </c>
      <c r="AE42" s="20">
        <f>IF(AF42="","",N(AF41)*(1+Start!$E$26/12)-AF42)</f>
        <v/>
      </c>
      <c r="AF42" s="20">
        <f>IF(OR(OR(Calc!$B$4=0,$B42&gt;IF(Start!$D$10="Avalanche",Calc!$B$3,Calc!$B$2)),Calc!$B$18=0),"",IF(N(AF41)&lt;=0.005,"",IF(Start!$D$10="Avalanche",INDEX(Calc!DF$75:DF$89,Calc!$F$18),INDEX(Calc!DF$50:DF$64,Calc!$D$18))))</f>
        <v/>
      </c>
      <c r="AG42" s="20">
        <f>IF(AH42="","",N(AH41)*(1+Start!$E$27/12)-AH42)</f>
        <v/>
      </c>
      <c r="AH42" s="20">
        <f>IF(OR(OR(Calc!$B$4=0,$B42&gt;IF(Start!$D$10="Avalanche",Calc!$B$3,Calc!$B$2)),Calc!$B$19=0),"",IF(N(AH41)&lt;=0.005,"",IF(Start!$D$10="Avalanche",INDEX(Calc!DF$75:DF$89,Calc!$F$19),INDEX(Calc!DF$50:DF$64,Calc!$D$19))))</f>
        <v/>
      </c>
      <c r="AI42" s="20">
        <f>IF(AJ42="","",N(AJ41)*(1+Start!$E$28/12)-AJ42)</f>
        <v/>
      </c>
      <c r="AJ42" s="20">
        <f>IF(OR(OR(Calc!$B$4=0,$B42&gt;IF(Start!$D$10="Avalanche",Calc!$B$3,Calc!$B$2)),Calc!$B$20=0),"",IF(N(AJ41)&lt;=0.005,"",IF(Start!$D$10="Avalanche",INDEX(Calc!DF$75:DF$89,Calc!$F$20),INDEX(Calc!DF$50:DF$64,Calc!$D$20))))</f>
        <v/>
      </c>
    </row>
    <row r="43">
      <c r="B43" s="17" t="n">
        <v>37</v>
      </c>
      <c r="C43" s="19">
        <f>IF(Calc!$B$4=0,"",EDATE(Start!$D$11,36))</f>
        <v/>
      </c>
      <c r="D43" s="20">
        <f>IF(OR(Calc!$B$4=0,$B43&gt;IF(Start!$D$10="Avalanche",Calc!$B$3,Calc!$B$2)),"",SUM(G43,I43,K43,M43,O43,Q43,S43,U43,W43,Y43,AA43,AC43,AE43,AG43,AI43))</f>
        <v/>
      </c>
      <c r="E43" s="20">
        <f>IF(OR(Calc!$B$4=0,$B43&gt;IF(Start!$D$10="Avalanche",Calc!$B$3,Calc!$B$2)),"",IF(Start!$D$10="Avalanche",Calc!DG$72,Calc!DG$47))</f>
        <v/>
      </c>
      <c r="F43" s="21">
        <f>IF(Calc!$B$4=0,"",IF($B43&gt;IF(Start!$D$10="Avalanche",Calc!$B$3,Calc!$B$2),NA(),SUM(H43,J43,L43,N43,P43,R43,T43,V43,X43,Z43,AB43,AD43,AF43,AH43,AJ43)))</f>
        <v/>
      </c>
      <c r="G43" s="20">
        <f>IF(H43="","",N(H42)*(1+Start!$E$14/12)-H43)</f>
        <v/>
      </c>
      <c r="H43" s="20">
        <f>IF(OR(OR(Calc!$B$4=0,$B43&gt;IF(Start!$D$10="Avalanche",Calc!$B$3,Calc!$B$2)),Calc!$B$6=0),"",IF(N(H42)&lt;=0.005,"",IF(Start!$D$10="Avalanche",INDEX(Calc!DI$75:DI$89,Calc!$F$6),INDEX(Calc!DI$50:DI$64,Calc!$D$6))))</f>
        <v/>
      </c>
      <c r="I43" s="20">
        <f>IF(J43="","",N(J42)*(1+Start!$E$15/12)-J43)</f>
        <v/>
      </c>
      <c r="J43" s="20">
        <f>IF(OR(OR(Calc!$B$4=0,$B43&gt;IF(Start!$D$10="Avalanche",Calc!$B$3,Calc!$B$2)),Calc!$B$7=0),"",IF(N(J42)&lt;=0.005,"",IF(Start!$D$10="Avalanche",INDEX(Calc!DI$75:DI$89,Calc!$F$7),INDEX(Calc!DI$50:DI$64,Calc!$D$7))))</f>
        <v/>
      </c>
      <c r="K43" s="20">
        <f>IF(L43="","",N(L42)*(1+Start!$E$16/12)-L43)</f>
        <v/>
      </c>
      <c r="L43" s="20">
        <f>IF(OR(OR(Calc!$B$4=0,$B43&gt;IF(Start!$D$10="Avalanche",Calc!$B$3,Calc!$B$2)),Calc!$B$8=0),"",IF(N(L42)&lt;=0.005,"",IF(Start!$D$10="Avalanche",INDEX(Calc!DI$75:DI$89,Calc!$F$8),INDEX(Calc!DI$50:DI$64,Calc!$D$8))))</f>
        <v/>
      </c>
      <c r="M43" s="20">
        <f>IF(N43="","",N(N42)*(1+Start!$E$17/12)-N43)</f>
        <v/>
      </c>
      <c r="N43" s="20">
        <f>IF(OR(OR(Calc!$B$4=0,$B43&gt;IF(Start!$D$10="Avalanche",Calc!$B$3,Calc!$B$2)),Calc!$B$9=0),"",IF(N(N42)&lt;=0.005,"",IF(Start!$D$10="Avalanche",INDEX(Calc!DI$75:DI$89,Calc!$F$9),INDEX(Calc!DI$50:DI$64,Calc!$D$9))))</f>
        <v/>
      </c>
      <c r="O43" s="20">
        <f>IF(P43="","",N(P42)*(1+Start!$E$18/12)-P43)</f>
        <v/>
      </c>
      <c r="P43" s="20">
        <f>IF(OR(OR(Calc!$B$4=0,$B43&gt;IF(Start!$D$10="Avalanche",Calc!$B$3,Calc!$B$2)),Calc!$B$10=0),"",IF(N(P42)&lt;=0.005,"",IF(Start!$D$10="Avalanche",INDEX(Calc!DI$75:DI$89,Calc!$F$10),INDEX(Calc!DI$50:DI$64,Calc!$D$10))))</f>
        <v/>
      </c>
      <c r="Q43" s="20">
        <f>IF(R43="","",N(R42)*(1+Start!$E$19/12)-R43)</f>
        <v/>
      </c>
      <c r="R43" s="20">
        <f>IF(OR(OR(Calc!$B$4=0,$B43&gt;IF(Start!$D$10="Avalanche",Calc!$B$3,Calc!$B$2)),Calc!$B$11=0),"",IF(N(R42)&lt;=0.005,"",IF(Start!$D$10="Avalanche",INDEX(Calc!DI$75:DI$89,Calc!$F$11),INDEX(Calc!DI$50:DI$64,Calc!$D$11))))</f>
        <v/>
      </c>
      <c r="S43" s="20">
        <f>IF(T43="","",N(T42)*(1+Start!$E$20/12)-T43)</f>
        <v/>
      </c>
      <c r="T43" s="20">
        <f>IF(OR(OR(Calc!$B$4=0,$B43&gt;IF(Start!$D$10="Avalanche",Calc!$B$3,Calc!$B$2)),Calc!$B$12=0),"",IF(N(T42)&lt;=0.005,"",IF(Start!$D$10="Avalanche",INDEX(Calc!DI$75:DI$89,Calc!$F$12),INDEX(Calc!DI$50:DI$64,Calc!$D$12))))</f>
        <v/>
      </c>
      <c r="U43" s="20">
        <f>IF(V43="","",N(V42)*(1+Start!$E$21/12)-V43)</f>
        <v/>
      </c>
      <c r="V43" s="20">
        <f>IF(OR(OR(Calc!$B$4=0,$B43&gt;IF(Start!$D$10="Avalanche",Calc!$B$3,Calc!$B$2)),Calc!$B$13=0),"",IF(N(V42)&lt;=0.005,"",IF(Start!$D$10="Avalanche",INDEX(Calc!DI$75:DI$89,Calc!$F$13),INDEX(Calc!DI$50:DI$64,Calc!$D$13))))</f>
        <v/>
      </c>
      <c r="W43" s="20">
        <f>IF(X43="","",N(X42)*(1+Start!$E$22/12)-X43)</f>
        <v/>
      </c>
      <c r="X43" s="20">
        <f>IF(OR(OR(Calc!$B$4=0,$B43&gt;IF(Start!$D$10="Avalanche",Calc!$B$3,Calc!$B$2)),Calc!$B$14=0),"",IF(N(X42)&lt;=0.005,"",IF(Start!$D$10="Avalanche",INDEX(Calc!DI$75:DI$89,Calc!$F$14),INDEX(Calc!DI$50:DI$64,Calc!$D$14))))</f>
        <v/>
      </c>
      <c r="Y43" s="20">
        <f>IF(Z43="","",N(Z42)*(1+Start!$E$23/12)-Z43)</f>
        <v/>
      </c>
      <c r="Z43" s="20">
        <f>IF(OR(OR(Calc!$B$4=0,$B43&gt;IF(Start!$D$10="Avalanche",Calc!$B$3,Calc!$B$2)),Calc!$B$15=0),"",IF(N(Z42)&lt;=0.005,"",IF(Start!$D$10="Avalanche",INDEX(Calc!DI$75:DI$89,Calc!$F$15),INDEX(Calc!DI$50:DI$64,Calc!$D$15))))</f>
        <v/>
      </c>
      <c r="AA43" s="20">
        <f>IF(AB43="","",N(AB42)*(1+Start!$E$24/12)-AB43)</f>
        <v/>
      </c>
      <c r="AB43" s="20">
        <f>IF(OR(OR(Calc!$B$4=0,$B43&gt;IF(Start!$D$10="Avalanche",Calc!$B$3,Calc!$B$2)),Calc!$B$16=0),"",IF(N(AB42)&lt;=0.005,"",IF(Start!$D$10="Avalanche",INDEX(Calc!DI$75:DI$89,Calc!$F$16),INDEX(Calc!DI$50:DI$64,Calc!$D$16))))</f>
        <v/>
      </c>
      <c r="AC43" s="20">
        <f>IF(AD43="","",N(AD42)*(1+Start!$E$25/12)-AD43)</f>
        <v/>
      </c>
      <c r="AD43" s="20">
        <f>IF(OR(OR(Calc!$B$4=0,$B43&gt;IF(Start!$D$10="Avalanche",Calc!$B$3,Calc!$B$2)),Calc!$B$17=0),"",IF(N(AD42)&lt;=0.005,"",IF(Start!$D$10="Avalanche",INDEX(Calc!DI$75:DI$89,Calc!$F$17),INDEX(Calc!DI$50:DI$64,Calc!$D$17))))</f>
        <v/>
      </c>
      <c r="AE43" s="20">
        <f>IF(AF43="","",N(AF42)*(1+Start!$E$26/12)-AF43)</f>
        <v/>
      </c>
      <c r="AF43" s="20">
        <f>IF(OR(OR(Calc!$B$4=0,$B43&gt;IF(Start!$D$10="Avalanche",Calc!$B$3,Calc!$B$2)),Calc!$B$18=0),"",IF(N(AF42)&lt;=0.005,"",IF(Start!$D$10="Avalanche",INDEX(Calc!DI$75:DI$89,Calc!$F$18),INDEX(Calc!DI$50:DI$64,Calc!$D$18))))</f>
        <v/>
      </c>
      <c r="AG43" s="20">
        <f>IF(AH43="","",N(AH42)*(1+Start!$E$27/12)-AH43)</f>
        <v/>
      </c>
      <c r="AH43" s="20">
        <f>IF(OR(OR(Calc!$B$4=0,$B43&gt;IF(Start!$D$10="Avalanche",Calc!$B$3,Calc!$B$2)),Calc!$B$19=0),"",IF(N(AH42)&lt;=0.005,"",IF(Start!$D$10="Avalanche",INDEX(Calc!DI$75:DI$89,Calc!$F$19),INDEX(Calc!DI$50:DI$64,Calc!$D$19))))</f>
        <v/>
      </c>
      <c r="AI43" s="20">
        <f>IF(AJ43="","",N(AJ42)*(1+Start!$E$28/12)-AJ43)</f>
        <v/>
      </c>
      <c r="AJ43" s="20">
        <f>IF(OR(OR(Calc!$B$4=0,$B43&gt;IF(Start!$D$10="Avalanche",Calc!$B$3,Calc!$B$2)),Calc!$B$20=0),"",IF(N(AJ42)&lt;=0.005,"",IF(Start!$D$10="Avalanche",INDEX(Calc!DI$75:DI$89,Calc!$F$20),INDEX(Calc!DI$50:DI$64,Calc!$D$20))))</f>
        <v/>
      </c>
    </row>
    <row r="44">
      <c r="B44" s="17" t="n">
        <v>38</v>
      </c>
      <c r="C44" s="19">
        <f>IF(Calc!$B$4=0,"",EDATE(Start!$D$11,37))</f>
        <v/>
      </c>
      <c r="D44" s="20">
        <f>IF(OR(Calc!$B$4=0,$B44&gt;IF(Start!$D$10="Avalanche",Calc!$B$3,Calc!$B$2)),"",SUM(G44,I44,K44,M44,O44,Q44,S44,U44,W44,Y44,AA44,AC44,AE44,AG44,AI44))</f>
        <v/>
      </c>
      <c r="E44" s="20">
        <f>IF(OR(Calc!$B$4=0,$B44&gt;IF(Start!$D$10="Avalanche",Calc!$B$3,Calc!$B$2)),"",IF(Start!$D$10="Avalanche",Calc!DJ$72,Calc!DJ$47))</f>
        <v/>
      </c>
      <c r="F44" s="21">
        <f>IF(Calc!$B$4=0,"",IF($B44&gt;IF(Start!$D$10="Avalanche",Calc!$B$3,Calc!$B$2),NA(),SUM(H44,J44,L44,N44,P44,R44,T44,V44,X44,Z44,AB44,AD44,AF44,AH44,AJ44)))</f>
        <v/>
      </c>
      <c r="G44" s="20">
        <f>IF(H44="","",N(H43)*(1+Start!$E$14/12)-H44)</f>
        <v/>
      </c>
      <c r="H44" s="20">
        <f>IF(OR(OR(Calc!$B$4=0,$B44&gt;IF(Start!$D$10="Avalanche",Calc!$B$3,Calc!$B$2)),Calc!$B$6=0),"",IF(N(H43)&lt;=0.005,"",IF(Start!$D$10="Avalanche",INDEX(Calc!DL$75:DL$89,Calc!$F$6),INDEX(Calc!DL$50:DL$64,Calc!$D$6))))</f>
        <v/>
      </c>
      <c r="I44" s="20">
        <f>IF(J44="","",N(J43)*(1+Start!$E$15/12)-J44)</f>
        <v/>
      </c>
      <c r="J44" s="20">
        <f>IF(OR(OR(Calc!$B$4=0,$B44&gt;IF(Start!$D$10="Avalanche",Calc!$B$3,Calc!$B$2)),Calc!$B$7=0),"",IF(N(J43)&lt;=0.005,"",IF(Start!$D$10="Avalanche",INDEX(Calc!DL$75:DL$89,Calc!$F$7),INDEX(Calc!DL$50:DL$64,Calc!$D$7))))</f>
        <v/>
      </c>
      <c r="K44" s="20">
        <f>IF(L44="","",N(L43)*(1+Start!$E$16/12)-L44)</f>
        <v/>
      </c>
      <c r="L44" s="20">
        <f>IF(OR(OR(Calc!$B$4=0,$B44&gt;IF(Start!$D$10="Avalanche",Calc!$B$3,Calc!$B$2)),Calc!$B$8=0),"",IF(N(L43)&lt;=0.005,"",IF(Start!$D$10="Avalanche",INDEX(Calc!DL$75:DL$89,Calc!$F$8),INDEX(Calc!DL$50:DL$64,Calc!$D$8))))</f>
        <v/>
      </c>
      <c r="M44" s="20">
        <f>IF(N44="","",N(N43)*(1+Start!$E$17/12)-N44)</f>
        <v/>
      </c>
      <c r="N44" s="20">
        <f>IF(OR(OR(Calc!$B$4=0,$B44&gt;IF(Start!$D$10="Avalanche",Calc!$B$3,Calc!$B$2)),Calc!$B$9=0),"",IF(N(N43)&lt;=0.005,"",IF(Start!$D$10="Avalanche",INDEX(Calc!DL$75:DL$89,Calc!$F$9),INDEX(Calc!DL$50:DL$64,Calc!$D$9))))</f>
        <v/>
      </c>
      <c r="O44" s="20">
        <f>IF(P44="","",N(P43)*(1+Start!$E$18/12)-P44)</f>
        <v/>
      </c>
      <c r="P44" s="20">
        <f>IF(OR(OR(Calc!$B$4=0,$B44&gt;IF(Start!$D$10="Avalanche",Calc!$B$3,Calc!$B$2)),Calc!$B$10=0),"",IF(N(P43)&lt;=0.005,"",IF(Start!$D$10="Avalanche",INDEX(Calc!DL$75:DL$89,Calc!$F$10),INDEX(Calc!DL$50:DL$64,Calc!$D$10))))</f>
        <v/>
      </c>
      <c r="Q44" s="20">
        <f>IF(R44="","",N(R43)*(1+Start!$E$19/12)-R44)</f>
        <v/>
      </c>
      <c r="R44" s="20">
        <f>IF(OR(OR(Calc!$B$4=0,$B44&gt;IF(Start!$D$10="Avalanche",Calc!$B$3,Calc!$B$2)),Calc!$B$11=0),"",IF(N(R43)&lt;=0.005,"",IF(Start!$D$10="Avalanche",INDEX(Calc!DL$75:DL$89,Calc!$F$11),INDEX(Calc!DL$50:DL$64,Calc!$D$11))))</f>
        <v/>
      </c>
      <c r="S44" s="20">
        <f>IF(T44="","",N(T43)*(1+Start!$E$20/12)-T44)</f>
        <v/>
      </c>
      <c r="T44" s="20">
        <f>IF(OR(OR(Calc!$B$4=0,$B44&gt;IF(Start!$D$10="Avalanche",Calc!$B$3,Calc!$B$2)),Calc!$B$12=0),"",IF(N(T43)&lt;=0.005,"",IF(Start!$D$10="Avalanche",INDEX(Calc!DL$75:DL$89,Calc!$F$12),INDEX(Calc!DL$50:DL$64,Calc!$D$12))))</f>
        <v/>
      </c>
      <c r="U44" s="20">
        <f>IF(V44="","",N(V43)*(1+Start!$E$21/12)-V44)</f>
        <v/>
      </c>
      <c r="V44" s="20">
        <f>IF(OR(OR(Calc!$B$4=0,$B44&gt;IF(Start!$D$10="Avalanche",Calc!$B$3,Calc!$B$2)),Calc!$B$13=0),"",IF(N(V43)&lt;=0.005,"",IF(Start!$D$10="Avalanche",INDEX(Calc!DL$75:DL$89,Calc!$F$13),INDEX(Calc!DL$50:DL$64,Calc!$D$13))))</f>
        <v/>
      </c>
      <c r="W44" s="20">
        <f>IF(X44="","",N(X43)*(1+Start!$E$22/12)-X44)</f>
        <v/>
      </c>
      <c r="X44" s="20">
        <f>IF(OR(OR(Calc!$B$4=0,$B44&gt;IF(Start!$D$10="Avalanche",Calc!$B$3,Calc!$B$2)),Calc!$B$14=0),"",IF(N(X43)&lt;=0.005,"",IF(Start!$D$10="Avalanche",INDEX(Calc!DL$75:DL$89,Calc!$F$14),INDEX(Calc!DL$50:DL$64,Calc!$D$14))))</f>
        <v/>
      </c>
      <c r="Y44" s="20">
        <f>IF(Z44="","",N(Z43)*(1+Start!$E$23/12)-Z44)</f>
        <v/>
      </c>
      <c r="Z44" s="20">
        <f>IF(OR(OR(Calc!$B$4=0,$B44&gt;IF(Start!$D$10="Avalanche",Calc!$B$3,Calc!$B$2)),Calc!$B$15=0),"",IF(N(Z43)&lt;=0.005,"",IF(Start!$D$10="Avalanche",INDEX(Calc!DL$75:DL$89,Calc!$F$15),INDEX(Calc!DL$50:DL$64,Calc!$D$15))))</f>
        <v/>
      </c>
      <c r="AA44" s="20">
        <f>IF(AB44="","",N(AB43)*(1+Start!$E$24/12)-AB44)</f>
        <v/>
      </c>
      <c r="AB44" s="20">
        <f>IF(OR(OR(Calc!$B$4=0,$B44&gt;IF(Start!$D$10="Avalanche",Calc!$B$3,Calc!$B$2)),Calc!$B$16=0),"",IF(N(AB43)&lt;=0.005,"",IF(Start!$D$10="Avalanche",INDEX(Calc!DL$75:DL$89,Calc!$F$16),INDEX(Calc!DL$50:DL$64,Calc!$D$16))))</f>
        <v/>
      </c>
      <c r="AC44" s="20">
        <f>IF(AD44="","",N(AD43)*(1+Start!$E$25/12)-AD44)</f>
        <v/>
      </c>
      <c r="AD44" s="20">
        <f>IF(OR(OR(Calc!$B$4=0,$B44&gt;IF(Start!$D$10="Avalanche",Calc!$B$3,Calc!$B$2)),Calc!$B$17=0),"",IF(N(AD43)&lt;=0.005,"",IF(Start!$D$10="Avalanche",INDEX(Calc!DL$75:DL$89,Calc!$F$17),INDEX(Calc!DL$50:DL$64,Calc!$D$17))))</f>
        <v/>
      </c>
      <c r="AE44" s="20">
        <f>IF(AF44="","",N(AF43)*(1+Start!$E$26/12)-AF44)</f>
        <v/>
      </c>
      <c r="AF44" s="20">
        <f>IF(OR(OR(Calc!$B$4=0,$B44&gt;IF(Start!$D$10="Avalanche",Calc!$B$3,Calc!$B$2)),Calc!$B$18=0),"",IF(N(AF43)&lt;=0.005,"",IF(Start!$D$10="Avalanche",INDEX(Calc!DL$75:DL$89,Calc!$F$18),INDEX(Calc!DL$50:DL$64,Calc!$D$18))))</f>
        <v/>
      </c>
      <c r="AG44" s="20">
        <f>IF(AH44="","",N(AH43)*(1+Start!$E$27/12)-AH44)</f>
        <v/>
      </c>
      <c r="AH44" s="20">
        <f>IF(OR(OR(Calc!$B$4=0,$B44&gt;IF(Start!$D$10="Avalanche",Calc!$B$3,Calc!$B$2)),Calc!$B$19=0),"",IF(N(AH43)&lt;=0.005,"",IF(Start!$D$10="Avalanche",INDEX(Calc!DL$75:DL$89,Calc!$F$19),INDEX(Calc!DL$50:DL$64,Calc!$D$19))))</f>
        <v/>
      </c>
      <c r="AI44" s="20">
        <f>IF(AJ44="","",N(AJ43)*(1+Start!$E$28/12)-AJ44)</f>
        <v/>
      </c>
      <c r="AJ44" s="20">
        <f>IF(OR(OR(Calc!$B$4=0,$B44&gt;IF(Start!$D$10="Avalanche",Calc!$B$3,Calc!$B$2)),Calc!$B$20=0),"",IF(N(AJ43)&lt;=0.005,"",IF(Start!$D$10="Avalanche",INDEX(Calc!DL$75:DL$89,Calc!$F$20),INDEX(Calc!DL$50:DL$64,Calc!$D$20))))</f>
        <v/>
      </c>
    </row>
    <row r="45">
      <c r="B45" s="17" t="n">
        <v>39</v>
      </c>
      <c r="C45" s="19">
        <f>IF(Calc!$B$4=0,"",EDATE(Start!$D$11,38))</f>
        <v/>
      </c>
      <c r="D45" s="20">
        <f>IF(OR(Calc!$B$4=0,$B45&gt;IF(Start!$D$10="Avalanche",Calc!$B$3,Calc!$B$2)),"",SUM(G45,I45,K45,M45,O45,Q45,S45,U45,W45,Y45,AA45,AC45,AE45,AG45,AI45))</f>
        <v/>
      </c>
      <c r="E45" s="20">
        <f>IF(OR(Calc!$B$4=0,$B45&gt;IF(Start!$D$10="Avalanche",Calc!$B$3,Calc!$B$2)),"",IF(Start!$D$10="Avalanche",Calc!DM$72,Calc!DM$47))</f>
        <v/>
      </c>
      <c r="F45" s="21">
        <f>IF(Calc!$B$4=0,"",IF($B45&gt;IF(Start!$D$10="Avalanche",Calc!$B$3,Calc!$B$2),NA(),SUM(H45,J45,L45,N45,P45,R45,T45,V45,X45,Z45,AB45,AD45,AF45,AH45,AJ45)))</f>
        <v/>
      </c>
      <c r="G45" s="20">
        <f>IF(H45="","",N(H44)*(1+Start!$E$14/12)-H45)</f>
        <v/>
      </c>
      <c r="H45" s="20">
        <f>IF(OR(OR(Calc!$B$4=0,$B45&gt;IF(Start!$D$10="Avalanche",Calc!$B$3,Calc!$B$2)),Calc!$B$6=0),"",IF(N(H44)&lt;=0.005,"",IF(Start!$D$10="Avalanche",INDEX(Calc!DO$75:DO$89,Calc!$F$6),INDEX(Calc!DO$50:DO$64,Calc!$D$6))))</f>
        <v/>
      </c>
      <c r="I45" s="20">
        <f>IF(J45="","",N(J44)*(1+Start!$E$15/12)-J45)</f>
        <v/>
      </c>
      <c r="J45" s="20">
        <f>IF(OR(OR(Calc!$B$4=0,$B45&gt;IF(Start!$D$10="Avalanche",Calc!$B$3,Calc!$B$2)),Calc!$B$7=0),"",IF(N(J44)&lt;=0.005,"",IF(Start!$D$10="Avalanche",INDEX(Calc!DO$75:DO$89,Calc!$F$7),INDEX(Calc!DO$50:DO$64,Calc!$D$7))))</f>
        <v/>
      </c>
      <c r="K45" s="20">
        <f>IF(L45="","",N(L44)*(1+Start!$E$16/12)-L45)</f>
        <v/>
      </c>
      <c r="L45" s="20">
        <f>IF(OR(OR(Calc!$B$4=0,$B45&gt;IF(Start!$D$10="Avalanche",Calc!$B$3,Calc!$B$2)),Calc!$B$8=0),"",IF(N(L44)&lt;=0.005,"",IF(Start!$D$10="Avalanche",INDEX(Calc!DO$75:DO$89,Calc!$F$8),INDEX(Calc!DO$50:DO$64,Calc!$D$8))))</f>
        <v/>
      </c>
      <c r="M45" s="20">
        <f>IF(N45="","",N(N44)*(1+Start!$E$17/12)-N45)</f>
        <v/>
      </c>
      <c r="N45" s="20">
        <f>IF(OR(OR(Calc!$B$4=0,$B45&gt;IF(Start!$D$10="Avalanche",Calc!$B$3,Calc!$B$2)),Calc!$B$9=0),"",IF(N(N44)&lt;=0.005,"",IF(Start!$D$10="Avalanche",INDEX(Calc!DO$75:DO$89,Calc!$F$9),INDEX(Calc!DO$50:DO$64,Calc!$D$9))))</f>
        <v/>
      </c>
      <c r="O45" s="20">
        <f>IF(P45="","",N(P44)*(1+Start!$E$18/12)-P45)</f>
        <v/>
      </c>
      <c r="P45" s="20">
        <f>IF(OR(OR(Calc!$B$4=0,$B45&gt;IF(Start!$D$10="Avalanche",Calc!$B$3,Calc!$B$2)),Calc!$B$10=0),"",IF(N(P44)&lt;=0.005,"",IF(Start!$D$10="Avalanche",INDEX(Calc!DO$75:DO$89,Calc!$F$10),INDEX(Calc!DO$50:DO$64,Calc!$D$10))))</f>
        <v/>
      </c>
      <c r="Q45" s="20">
        <f>IF(R45="","",N(R44)*(1+Start!$E$19/12)-R45)</f>
        <v/>
      </c>
      <c r="R45" s="20">
        <f>IF(OR(OR(Calc!$B$4=0,$B45&gt;IF(Start!$D$10="Avalanche",Calc!$B$3,Calc!$B$2)),Calc!$B$11=0),"",IF(N(R44)&lt;=0.005,"",IF(Start!$D$10="Avalanche",INDEX(Calc!DO$75:DO$89,Calc!$F$11),INDEX(Calc!DO$50:DO$64,Calc!$D$11))))</f>
        <v/>
      </c>
      <c r="S45" s="20">
        <f>IF(T45="","",N(T44)*(1+Start!$E$20/12)-T45)</f>
        <v/>
      </c>
      <c r="T45" s="20">
        <f>IF(OR(OR(Calc!$B$4=0,$B45&gt;IF(Start!$D$10="Avalanche",Calc!$B$3,Calc!$B$2)),Calc!$B$12=0),"",IF(N(T44)&lt;=0.005,"",IF(Start!$D$10="Avalanche",INDEX(Calc!DO$75:DO$89,Calc!$F$12),INDEX(Calc!DO$50:DO$64,Calc!$D$12))))</f>
        <v/>
      </c>
      <c r="U45" s="20">
        <f>IF(V45="","",N(V44)*(1+Start!$E$21/12)-V45)</f>
        <v/>
      </c>
      <c r="V45" s="20">
        <f>IF(OR(OR(Calc!$B$4=0,$B45&gt;IF(Start!$D$10="Avalanche",Calc!$B$3,Calc!$B$2)),Calc!$B$13=0),"",IF(N(V44)&lt;=0.005,"",IF(Start!$D$10="Avalanche",INDEX(Calc!DO$75:DO$89,Calc!$F$13),INDEX(Calc!DO$50:DO$64,Calc!$D$13))))</f>
        <v/>
      </c>
      <c r="W45" s="20">
        <f>IF(X45="","",N(X44)*(1+Start!$E$22/12)-X45)</f>
        <v/>
      </c>
      <c r="X45" s="20">
        <f>IF(OR(OR(Calc!$B$4=0,$B45&gt;IF(Start!$D$10="Avalanche",Calc!$B$3,Calc!$B$2)),Calc!$B$14=0),"",IF(N(X44)&lt;=0.005,"",IF(Start!$D$10="Avalanche",INDEX(Calc!DO$75:DO$89,Calc!$F$14),INDEX(Calc!DO$50:DO$64,Calc!$D$14))))</f>
        <v/>
      </c>
      <c r="Y45" s="20">
        <f>IF(Z45="","",N(Z44)*(1+Start!$E$23/12)-Z45)</f>
        <v/>
      </c>
      <c r="Z45" s="20">
        <f>IF(OR(OR(Calc!$B$4=0,$B45&gt;IF(Start!$D$10="Avalanche",Calc!$B$3,Calc!$B$2)),Calc!$B$15=0),"",IF(N(Z44)&lt;=0.005,"",IF(Start!$D$10="Avalanche",INDEX(Calc!DO$75:DO$89,Calc!$F$15),INDEX(Calc!DO$50:DO$64,Calc!$D$15))))</f>
        <v/>
      </c>
      <c r="AA45" s="20">
        <f>IF(AB45="","",N(AB44)*(1+Start!$E$24/12)-AB45)</f>
        <v/>
      </c>
      <c r="AB45" s="20">
        <f>IF(OR(OR(Calc!$B$4=0,$B45&gt;IF(Start!$D$10="Avalanche",Calc!$B$3,Calc!$B$2)),Calc!$B$16=0),"",IF(N(AB44)&lt;=0.005,"",IF(Start!$D$10="Avalanche",INDEX(Calc!DO$75:DO$89,Calc!$F$16),INDEX(Calc!DO$50:DO$64,Calc!$D$16))))</f>
        <v/>
      </c>
      <c r="AC45" s="20">
        <f>IF(AD45="","",N(AD44)*(1+Start!$E$25/12)-AD45)</f>
        <v/>
      </c>
      <c r="AD45" s="20">
        <f>IF(OR(OR(Calc!$B$4=0,$B45&gt;IF(Start!$D$10="Avalanche",Calc!$B$3,Calc!$B$2)),Calc!$B$17=0),"",IF(N(AD44)&lt;=0.005,"",IF(Start!$D$10="Avalanche",INDEX(Calc!DO$75:DO$89,Calc!$F$17),INDEX(Calc!DO$50:DO$64,Calc!$D$17))))</f>
        <v/>
      </c>
      <c r="AE45" s="20">
        <f>IF(AF45="","",N(AF44)*(1+Start!$E$26/12)-AF45)</f>
        <v/>
      </c>
      <c r="AF45" s="20">
        <f>IF(OR(OR(Calc!$B$4=0,$B45&gt;IF(Start!$D$10="Avalanche",Calc!$B$3,Calc!$B$2)),Calc!$B$18=0),"",IF(N(AF44)&lt;=0.005,"",IF(Start!$D$10="Avalanche",INDEX(Calc!DO$75:DO$89,Calc!$F$18),INDEX(Calc!DO$50:DO$64,Calc!$D$18))))</f>
        <v/>
      </c>
      <c r="AG45" s="20">
        <f>IF(AH45="","",N(AH44)*(1+Start!$E$27/12)-AH45)</f>
        <v/>
      </c>
      <c r="AH45" s="20">
        <f>IF(OR(OR(Calc!$B$4=0,$B45&gt;IF(Start!$D$10="Avalanche",Calc!$B$3,Calc!$B$2)),Calc!$B$19=0),"",IF(N(AH44)&lt;=0.005,"",IF(Start!$D$10="Avalanche",INDEX(Calc!DO$75:DO$89,Calc!$F$19),INDEX(Calc!DO$50:DO$64,Calc!$D$19))))</f>
        <v/>
      </c>
      <c r="AI45" s="20">
        <f>IF(AJ45="","",N(AJ44)*(1+Start!$E$28/12)-AJ45)</f>
        <v/>
      </c>
      <c r="AJ45" s="20">
        <f>IF(OR(OR(Calc!$B$4=0,$B45&gt;IF(Start!$D$10="Avalanche",Calc!$B$3,Calc!$B$2)),Calc!$B$20=0),"",IF(N(AJ44)&lt;=0.005,"",IF(Start!$D$10="Avalanche",INDEX(Calc!DO$75:DO$89,Calc!$F$20),INDEX(Calc!DO$50:DO$64,Calc!$D$20))))</f>
        <v/>
      </c>
    </row>
    <row r="46">
      <c r="B46" s="17" t="n">
        <v>40</v>
      </c>
      <c r="C46" s="19">
        <f>IF(Calc!$B$4=0,"",EDATE(Start!$D$11,39))</f>
        <v/>
      </c>
      <c r="D46" s="20">
        <f>IF(OR(Calc!$B$4=0,$B46&gt;IF(Start!$D$10="Avalanche",Calc!$B$3,Calc!$B$2)),"",SUM(G46,I46,K46,M46,O46,Q46,S46,U46,W46,Y46,AA46,AC46,AE46,AG46,AI46))</f>
        <v/>
      </c>
      <c r="E46" s="20">
        <f>IF(OR(Calc!$B$4=0,$B46&gt;IF(Start!$D$10="Avalanche",Calc!$B$3,Calc!$B$2)),"",IF(Start!$D$10="Avalanche",Calc!DP$72,Calc!DP$47))</f>
        <v/>
      </c>
      <c r="F46" s="21">
        <f>IF(Calc!$B$4=0,"",IF($B46&gt;IF(Start!$D$10="Avalanche",Calc!$B$3,Calc!$B$2),NA(),SUM(H46,J46,L46,N46,P46,R46,T46,V46,X46,Z46,AB46,AD46,AF46,AH46,AJ46)))</f>
        <v/>
      </c>
      <c r="G46" s="20">
        <f>IF(H46="","",N(H45)*(1+Start!$E$14/12)-H46)</f>
        <v/>
      </c>
      <c r="H46" s="20">
        <f>IF(OR(OR(Calc!$B$4=0,$B46&gt;IF(Start!$D$10="Avalanche",Calc!$B$3,Calc!$B$2)),Calc!$B$6=0),"",IF(N(H45)&lt;=0.005,"",IF(Start!$D$10="Avalanche",INDEX(Calc!DR$75:DR$89,Calc!$F$6),INDEX(Calc!DR$50:DR$64,Calc!$D$6))))</f>
        <v/>
      </c>
      <c r="I46" s="20">
        <f>IF(J46="","",N(J45)*(1+Start!$E$15/12)-J46)</f>
        <v/>
      </c>
      <c r="J46" s="20">
        <f>IF(OR(OR(Calc!$B$4=0,$B46&gt;IF(Start!$D$10="Avalanche",Calc!$B$3,Calc!$B$2)),Calc!$B$7=0),"",IF(N(J45)&lt;=0.005,"",IF(Start!$D$10="Avalanche",INDEX(Calc!DR$75:DR$89,Calc!$F$7),INDEX(Calc!DR$50:DR$64,Calc!$D$7))))</f>
        <v/>
      </c>
      <c r="K46" s="20">
        <f>IF(L46="","",N(L45)*(1+Start!$E$16/12)-L46)</f>
        <v/>
      </c>
      <c r="L46" s="20">
        <f>IF(OR(OR(Calc!$B$4=0,$B46&gt;IF(Start!$D$10="Avalanche",Calc!$B$3,Calc!$B$2)),Calc!$B$8=0),"",IF(N(L45)&lt;=0.005,"",IF(Start!$D$10="Avalanche",INDEX(Calc!DR$75:DR$89,Calc!$F$8),INDEX(Calc!DR$50:DR$64,Calc!$D$8))))</f>
        <v/>
      </c>
      <c r="M46" s="20">
        <f>IF(N46="","",N(N45)*(1+Start!$E$17/12)-N46)</f>
        <v/>
      </c>
      <c r="N46" s="20">
        <f>IF(OR(OR(Calc!$B$4=0,$B46&gt;IF(Start!$D$10="Avalanche",Calc!$B$3,Calc!$B$2)),Calc!$B$9=0),"",IF(N(N45)&lt;=0.005,"",IF(Start!$D$10="Avalanche",INDEX(Calc!DR$75:DR$89,Calc!$F$9),INDEX(Calc!DR$50:DR$64,Calc!$D$9))))</f>
        <v/>
      </c>
      <c r="O46" s="20">
        <f>IF(P46="","",N(P45)*(1+Start!$E$18/12)-P46)</f>
        <v/>
      </c>
      <c r="P46" s="20">
        <f>IF(OR(OR(Calc!$B$4=0,$B46&gt;IF(Start!$D$10="Avalanche",Calc!$B$3,Calc!$B$2)),Calc!$B$10=0),"",IF(N(P45)&lt;=0.005,"",IF(Start!$D$10="Avalanche",INDEX(Calc!DR$75:DR$89,Calc!$F$10),INDEX(Calc!DR$50:DR$64,Calc!$D$10))))</f>
        <v/>
      </c>
      <c r="Q46" s="20">
        <f>IF(R46="","",N(R45)*(1+Start!$E$19/12)-R46)</f>
        <v/>
      </c>
      <c r="R46" s="20">
        <f>IF(OR(OR(Calc!$B$4=0,$B46&gt;IF(Start!$D$10="Avalanche",Calc!$B$3,Calc!$B$2)),Calc!$B$11=0),"",IF(N(R45)&lt;=0.005,"",IF(Start!$D$10="Avalanche",INDEX(Calc!DR$75:DR$89,Calc!$F$11),INDEX(Calc!DR$50:DR$64,Calc!$D$11))))</f>
        <v/>
      </c>
      <c r="S46" s="20">
        <f>IF(T46="","",N(T45)*(1+Start!$E$20/12)-T46)</f>
        <v/>
      </c>
      <c r="T46" s="20">
        <f>IF(OR(OR(Calc!$B$4=0,$B46&gt;IF(Start!$D$10="Avalanche",Calc!$B$3,Calc!$B$2)),Calc!$B$12=0),"",IF(N(T45)&lt;=0.005,"",IF(Start!$D$10="Avalanche",INDEX(Calc!DR$75:DR$89,Calc!$F$12),INDEX(Calc!DR$50:DR$64,Calc!$D$12))))</f>
        <v/>
      </c>
      <c r="U46" s="20">
        <f>IF(V46="","",N(V45)*(1+Start!$E$21/12)-V46)</f>
        <v/>
      </c>
      <c r="V46" s="20">
        <f>IF(OR(OR(Calc!$B$4=0,$B46&gt;IF(Start!$D$10="Avalanche",Calc!$B$3,Calc!$B$2)),Calc!$B$13=0),"",IF(N(V45)&lt;=0.005,"",IF(Start!$D$10="Avalanche",INDEX(Calc!DR$75:DR$89,Calc!$F$13),INDEX(Calc!DR$50:DR$64,Calc!$D$13))))</f>
        <v/>
      </c>
      <c r="W46" s="20">
        <f>IF(X46="","",N(X45)*(1+Start!$E$22/12)-X46)</f>
        <v/>
      </c>
      <c r="X46" s="20">
        <f>IF(OR(OR(Calc!$B$4=0,$B46&gt;IF(Start!$D$10="Avalanche",Calc!$B$3,Calc!$B$2)),Calc!$B$14=0),"",IF(N(X45)&lt;=0.005,"",IF(Start!$D$10="Avalanche",INDEX(Calc!DR$75:DR$89,Calc!$F$14),INDEX(Calc!DR$50:DR$64,Calc!$D$14))))</f>
        <v/>
      </c>
      <c r="Y46" s="20">
        <f>IF(Z46="","",N(Z45)*(1+Start!$E$23/12)-Z46)</f>
        <v/>
      </c>
      <c r="Z46" s="20">
        <f>IF(OR(OR(Calc!$B$4=0,$B46&gt;IF(Start!$D$10="Avalanche",Calc!$B$3,Calc!$B$2)),Calc!$B$15=0),"",IF(N(Z45)&lt;=0.005,"",IF(Start!$D$10="Avalanche",INDEX(Calc!DR$75:DR$89,Calc!$F$15),INDEX(Calc!DR$50:DR$64,Calc!$D$15))))</f>
        <v/>
      </c>
      <c r="AA46" s="20">
        <f>IF(AB46="","",N(AB45)*(1+Start!$E$24/12)-AB46)</f>
        <v/>
      </c>
      <c r="AB46" s="20">
        <f>IF(OR(OR(Calc!$B$4=0,$B46&gt;IF(Start!$D$10="Avalanche",Calc!$B$3,Calc!$B$2)),Calc!$B$16=0),"",IF(N(AB45)&lt;=0.005,"",IF(Start!$D$10="Avalanche",INDEX(Calc!DR$75:DR$89,Calc!$F$16),INDEX(Calc!DR$50:DR$64,Calc!$D$16))))</f>
        <v/>
      </c>
      <c r="AC46" s="20">
        <f>IF(AD46="","",N(AD45)*(1+Start!$E$25/12)-AD46)</f>
        <v/>
      </c>
      <c r="AD46" s="20">
        <f>IF(OR(OR(Calc!$B$4=0,$B46&gt;IF(Start!$D$10="Avalanche",Calc!$B$3,Calc!$B$2)),Calc!$B$17=0),"",IF(N(AD45)&lt;=0.005,"",IF(Start!$D$10="Avalanche",INDEX(Calc!DR$75:DR$89,Calc!$F$17),INDEX(Calc!DR$50:DR$64,Calc!$D$17))))</f>
        <v/>
      </c>
      <c r="AE46" s="20">
        <f>IF(AF46="","",N(AF45)*(1+Start!$E$26/12)-AF46)</f>
        <v/>
      </c>
      <c r="AF46" s="20">
        <f>IF(OR(OR(Calc!$B$4=0,$B46&gt;IF(Start!$D$10="Avalanche",Calc!$B$3,Calc!$B$2)),Calc!$B$18=0),"",IF(N(AF45)&lt;=0.005,"",IF(Start!$D$10="Avalanche",INDEX(Calc!DR$75:DR$89,Calc!$F$18),INDEX(Calc!DR$50:DR$64,Calc!$D$18))))</f>
        <v/>
      </c>
      <c r="AG46" s="20">
        <f>IF(AH46="","",N(AH45)*(1+Start!$E$27/12)-AH46)</f>
        <v/>
      </c>
      <c r="AH46" s="20">
        <f>IF(OR(OR(Calc!$B$4=0,$B46&gt;IF(Start!$D$10="Avalanche",Calc!$B$3,Calc!$B$2)),Calc!$B$19=0),"",IF(N(AH45)&lt;=0.005,"",IF(Start!$D$10="Avalanche",INDEX(Calc!DR$75:DR$89,Calc!$F$19),INDEX(Calc!DR$50:DR$64,Calc!$D$19))))</f>
        <v/>
      </c>
      <c r="AI46" s="20">
        <f>IF(AJ46="","",N(AJ45)*(1+Start!$E$28/12)-AJ46)</f>
        <v/>
      </c>
      <c r="AJ46" s="20">
        <f>IF(OR(OR(Calc!$B$4=0,$B46&gt;IF(Start!$D$10="Avalanche",Calc!$B$3,Calc!$B$2)),Calc!$B$20=0),"",IF(N(AJ45)&lt;=0.005,"",IF(Start!$D$10="Avalanche",INDEX(Calc!DR$75:DR$89,Calc!$F$20),INDEX(Calc!DR$50:DR$64,Calc!$D$20))))</f>
        <v/>
      </c>
    </row>
    <row r="47">
      <c r="B47" s="17" t="n">
        <v>41</v>
      </c>
      <c r="C47" s="19">
        <f>IF(Calc!$B$4=0,"",EDATE(Start!$D$11,40))</f>
        <v/>
      </c>
      <c r="D47" s="20">
        <f>IF(OR(Calc!$B$4=0,$B47&gt;IF(Start!$D$10="Avalanche",Calc!$B$3,Calc!$B$2)),"",SUM(G47,I47,K47,M47,O47,Q47,S47,U47,W47,Y47,AA47,AC47,AE47,AG47,AI47))</f>
        <v/>
      </c>
      <c r="E47" s="20">
        <f>IF(OR(Calc!$B$4=0,$B47&gt;IF(Start!$D$10="Avalanche",Calc!$B$3,Calc!$B$2)),"",IF(Start!$D$10="Avalanche",Calc!DS$72,Calc!DS$47))</f>
        <v/>
      </c>
      <c r="F47" s="21">
        <f>IF(Calc!$B$4=0,"",IF($B47&gt;IF(Start!$D$10="Avalanche",Calc!$B$3,Calc!$B$2),NA(),SUM(H47,J47,L47,N47,P47,R47,T47,V47,X47,Z47,AB47,AD47,AF47,AH47,AJ47)))</f>
        <v/>
      </c>
      <c r="G47" s="20">
        <f>IF(H47="","",N(H46)*(1+Start!$E$14/12)-H47)</f>
        <v/>
      </c>
      <c r="H47" s="20">
        <f>IF(OR(OR(Calc!$B$4=0,$B47&gt;IF(Start!$D$10="Avalanche",Calc!$B$3,Calc!$B$2)),Calc!$B$6=0),"",IF(N(H46)&lt;=0.005,"",IF(Start!$D$10="Avalanche",INDEX(Calc!DU$75:DU$89,Calc!$F$6),INDEX(Calc!DU$50:DU$64,Calc!$D$6))))</f>
        <v/>
      </c>
      <c r="I47" s="20">
        <f>IF(J47="","",N(J46)*(1+Start!$E$15/12)-J47)</f>
        <v/>
      </c>
      <c r="J47" s="20">
        <f>IF(OR(OR(Calc!$B$4=0,$B47&gt;IF(Start!$D$10="Avalanche",Calc!$B$3,Calc!$B$2)),Calc!$B$7=0),"",IF(N(J46)&lt;=0.005,"",IF(Start!$D$10="Avalanche",INDEX(Calc!DU$75:DU$89,Calc!$F$7),INDEX(Calc!DU$50:DU$64,Calc!$D$7))))</f>
        <v/>
      </c>
      <c r="K47" s="20">
        <f>IF(L47="","",N(L46)*(1+Start!$E$16/12)-L47)</f>
        <v/>
      </c>
      <c r="L47" s="20">
        <f>IF(OR(OR(Calc!$B$4=0,$B47&gt;IF(Start!$D$10="Avalanche",Calc!$B$3,Calc!$B$2)),Calc!$B$8=0),"",IF(N(L46)&lt;=0.005,"",IF(Start!$D$10="Avalanche",INDEX(Calc!DU$75:DU$89,Calc!$F$8),INDEX(Calc!DU$50:DU$64,Calc!$D$8))))</f>
        <v/>
      </c>
      <c r="M47" s="20">
        <f>IF(N47="","",N(N46)*(1+Start!$E$17/12)-N47)</f>
        <v/>
      </c>
      <c r="N47" s="20">
        <f>IF(OR(OR(Calc!$B$4=0,$B47&gt;IF(Start!$D$10="Avalanche",Calc!$B$3,Calc!$B$2)),Calc!$B$9=0),"",IF(N(N46)&lt;=0.005,"",IF(Start!$D$10="Avalanche",INDEX(Calc!DU$75:DU$89,Calc!$F$9),INDEX(Calc!DU$50:DU$64,Calc!$D$9))))</f>
        <v/>
      </c>
      <c r="O47" s="20">
        <f>IF(P47="","",N(P46)*(1+Start!$E$18/12)-P47)</f>
        <v/>
      </c>
      <c r="P47" s="20">
        <f>IF(OR(OR(Calc!$B$4=0,$B47&gt;IF(Start!$D$10="Avalanche",Calc!$B$3,Calc!$B$2)),Calc!$B$10=0),"",IF(N(P46)&lt;=0.005,"",IF(Start!$D$10="Avalanche",INDEX(Calc!DU$75:DU$89,Calc!$F$10),INDEX(Calc!DU$50:DU$64,Calc!$D$10))))</f>
        <v/>
      </c>
      <c r="Q47" s="20">
        <f>IF(R47="","",N(R46)*(1+Start!$E$19/12)-R47)</f>
        <v/>
      </c>
      <c r="R47" s="20">
        <f>IF(OR(OR(Calc!$B$4=0,$B47&gt;IF(Start!$D$10="Avalanche",Calc!$B$3,Calc!$B$2)),Calc!$B$11=0),"",IF(N(R46)&lt;=0.005,"",IF(Start!$D$10="Avalanche",INDEX(Calc!DU$75:DU$89,Calc!$F$11),INDEX(Calc!DU$50:DU$64,Calc!$D$11))))</f>
        <v/>
      </c>
      <c r="S47" s="20">
        <f>IF(T47="","",N(T46)*(1+Start!$E$20/12)-T47)</f>
        <v/>
      </c>
      <c r="T47" s="20">
        <f>IF(OR(OR(Calc!$B$4=0,$B47&gt;IF(Start!$D$10="Avalanche",Calc!$B$3,Calc!$B$2)),Calc!$B$12=0),"",IF(N(T46)&lt;=0.005,"",IF(Start!$D$10="Avalanche",INDEX(Calc!DU$75:DU$89,Calc!$F$12),INDEX(Calc!DU$50:DU$64,Calc!$D$12))))</f>
        <v/>
      </c>
      <c r="U47" s="20">
        <f>IF(V47="","",N(V46)*(1+Start!$E$21/12)-V47)</f>
        <v/>
      </c>
      <c r="V47" s="20">
        <f>IF(OR(OR(Calc!$B$4=0,$B47&gt;IF(Start!$D$10="Avalanche",Calc!$B$3,Calc!$B$2)),Calc!$B$13=0),"",IF(N(V46)&lt;=0.005,"",IF(Start!$D$10="Avalanche",INDEX(Calc!DU$75:DU$89,Calc!$F$13),INDEX(Calc!DU$50:DU$64,Calc!$D$13))))</f>
        <v/>
      </c>
      <c r="W47" s="20">
        <f>IF(X47="","",N(X46)*(1+Start!$E$22/12)-X47)</f>
        <v/>
      </c>
      <c r="X47" s="20">
        <f>IF(OR(OR(Calc!$B$4=0,$B47&gt;IF(Start!$D$10="Avalanche",Calc!$B$3,Calc!$B$2)),Calc!$B$14=0),"",IF(N(X46)&lt;=0.005,"",IF(Start!$D$10="Avalanche",INDEX(Calc!DU$75:DU$89,Calc!$F$14),INDEX(Calc!DU$50:DU$64,Calc!$D$14))))</f>
        <v/>
      </c>
      <c r="Y47" s="20">
        <f>IF(Z47="","",N(Z46)*(1+Start!$E$23/12)-Z47)</f>
        <v/>
      </c>
      <c r="Z47" s="20">
        <f>IF(OR(OR(Calc!$B$4=0,$B47&gt;IF(Start!$D$10="Avalanche",Calc!$B$3,Calc!$B$2)),Calc!$B$15=0),"",IF(N(Z46)&lt;=0.005,"",IF(Start!$D$10="Avalanche",INDEX(Calc!DU$75:DU$89,Calc!$F$15),INDEX(Calc!DU$50:DU$64,Calc!$D$15))))</f>
        <v/>
      </c>
      <c r="AA47" s="20">
        <f>IF(AB47="","",N(AB46)*(1+Start!$E$24/12)-AB47)</f>
        <v/>
      </c>
      <c r="AB47" s="20">
        <f>IF(OR(OR(Calc!$B$4=0,$B47&gt;IF(Start!$D$10="Avalanche",Calc!$B$3,Calc!$B$2)),Calc!$B$16=0),"",IF(N(AB46)&lt;=0.005,"",IF(Start!$D$10="Avalanche",INDEX(Calc!DU$75:DU$89,Calc!$F$16),INDEX(Calc!DU$50:DU$64,Calc!$D$16))))</f>
        <v/>
      </c>
      <c r="AC47" s="20">
        <f>IF(AD47="","",N(AD46)*(1+Start!$E$25/12)-AD47)</f>
        <v/>
      </c>
      <c r="AD47" s="20">
        <f>IF(OR(OR(Calc!$B$4=0,$B47&gt;IF(Start!$D$10="Avalanche",Calc!$B$3,Calc!$B$2)),Calc!$B$17=0),"",IF(N(AD46)&lt;=0.005,"",IF(Start!$D$10="Avalanche",INDEX(Calc!DU$75:DU$89,Calc!$F$17),INDEX(Calc!DU$50:DU$64,Calc!$D$17))))</f>
        <v/>
      </c>
      <c r="AE47" s="20">
        <f>IF(AF47="","",N(AF46)*(1+Start!$E$26/12)-AF47)</f>
        <v/>
      </c>
      <c r="AF47" s="20">
        <f>IF(OR(OR(Calc!$B$4=0,$B47&gt;IF(Start!$D$10="Avalanche",Calc!$B$3,Calc!$B$2)),Calc!$B$18=0),"",IF(N(AF46)&lt;=0.005,"",IF(Start!$D$10="Avalanche",INDEX(Calc!DU$75:DU$89,Calc!$F$18),INDEX(Calc!DU$50:DU$64,Calc!$D$18))))</f>
        <v/>
      </c>
      <c r="AG47" s="20">
        <f>IF(AH47="","",N(AH46)*(1+Start!$E$27/12)-AH47)</f>
        <v/>
      </c>
      <c r="AH47" s="20">
        <f>IF(OR(OR(Calc!$B$4=0,$B47&gt;IF(Start!$D$10="Avalanche",Calc!$B$3,Calc!$B$2)),Calc!$B$19=0),"",IF(N(AH46)&lt;=0.005,"",IF(Start!$D$10="Avalanche",INDEX(Calc!DU$75:DU$89,Calc!$F$19),INDEX(Calc!DU$50:DU$64,Calc!$D$19))))</f>
        <v/>
      </c>
      <c r="AI47" s="20">
        <f>IF(AJ47="","",N(AJ46)*(1+Start!$E$28/12)-AJ47)</f>
        <v/>
      </c>
      <c r="AJ47" s="20">
        <f>IF(OR(OR(Calc!$B$4=0,$B47&gt;IF(Start!$D$10="Avalanche",Calc!$B$3,Calc!$B$2)),Calc!$B$20=0),"",IF(N(AJ46)&lt;=0.005,"",IF(Start!$D$10="Avalanche",INDEX(Calc!DU$75:DU$89,Calc!$F$20),INDEX(Calc!DU$50:DU$64,Calc!$D$20))))</f>
        <v/>
      </c>
    </row>
    <row r="48">
      <c r="B48" s="17" t="n">
        <v>42</v>
      </c>
      <c r="C48" s="19">
        <f>IF(Calc!$B$4=0,"",EDATE(Start!$D$11,41))</f>
        <v/>
      </c>
      <c r="D48" s="20">
        <f>IF(OR(Calc!$B$4=0,$B48&gt;IF(Start!$D$10="Avalanche",Calc!$B$3,Calc!$B$2)),"",SUM(G48,I48,K48,M48,O48,Q48,S48,U48,W48,Y48,AA48,AC48,AE48,AG48,AI48))</f>
        <v/>
      </c>
      <c r="E48" s="20">
        <f>IF(OR(Calc!$B$4=0,$B48&gt;IF(Start!$D$10="Avalanche",Calc!$B$3,Calc!$B$2)),"",IF(Start!$D$10="Avalanche",Calc!DV$72,Calc!DV$47))</f>
        <v/>
      </c>
      <c r="F48" s="21">
        <f>IF(Calc!$B$4=0,"",IF($B48&gt;IF(Start!$D$10="Avalanche",Calc!$B$3,Calc!$B$2),NA(),SUM(H48,J48,L48,N48,P48,R48,T48,V48,X48,Z48,AB48,AD48,AF48,AH48,AJ48)))</f>
        <v/>
      </c>
      <c r="G48" s="20">
        <f>IF(H48="","",N(H47)*(1+Start!$E$14/12)-H48)</f>
        <v/>
      </c>
      <c r="H48" s="20">
        <f>IF(OR(OR(Calc!$B$4=0,$B48&gt;IF(Start!$D$10="Avalanche",Calc!$B$3,Calc!$B$2)),Calc!$B$6=0),"",IF(N(H47)&lt;=0.005,"",IF(Start!$D$10="Avalanche",INDEX(Calc!DX$75:DX$89,Calc!$F$6),INDEX(Calc!DX$50:DX$64,Calc!$D$6))))</f>
        <v/>
      </c>
      <c r="I48" s="20">
        <f>IF(J48="","",N(J47)*(1+Start!$E$15/12)-J48)</f>
        <v/>
      </c>
      <c r="J48" s="20">
        <f>IF(OR(OR(Calc!$B$4=0,$B48&gt;IF(Start!$D$10="Avalanche",Calc!$B$3,Calc!$B$2)),Calc!$B$7=0),"",IF(N(J47)&lt;=0.005,"",IF(Start!$D$10="Avalanche",INDEX(Calc!DX$75:DX$89,Calc!$F$7),INDEX(Calc!DX$50:DX$64,Calc!$D$7))))</f>
        <v/>
      </c>
      <c r="K48" s="20">
        <f>IF(L48="","",N(L47)*(1+Start!$E$16/12)-L48)</f>
        <v/>
      </c>
      <c r="L48" s="20">
        <f>IF(OR(OR(Calc!$B$4=0,$B48&gt;IF(Start!$D$10="Avalanche",Calc!$B$3,Calc!$B$2)),Calc!$B$8=0),"",IF(N(L47)&lt;=0.005,"",IF(Start!$D$10="Avalanche",INDEX(Calc!DX$75:DX$89,Calc!$F$8),INDEX(Calc!DX$50:DX$64,Calc!$D$8))))</f>
        <v/>
      </c>
      <c r="M48" s="20">
        <f>IF(N48="","",N(N47)*(1+Start!$E$17/12)-N48)</f>
        <v/>
      </c>
      <c r="N48" s="20">
        <f>IF(OR(OR(Calc!$B$4=0,$B48&gt;IF(Start!$D$10="Avalanche",Calc!$B$3,Calc!$B$2)),Calc!$B$9=0),"",IF(N(N47)&lt;=0.005,"",IF(Start!$D$10="Avalanche",INDEX(Calc!DX$75:DX$89,Calc!$F$9),INDEX(Calc!DX$50:DX$64,Calc!$D$9))))</f>
        <v/>
      </c>
      <c r="O48" s="20">
        <f>IF(P48="","",N(P47)*(1+Start!$E$18/12)-P48)</f>
        <v/>
      </c>
      <c r="P48" s="20">
        <f>IF(OR(OR(Calc!$B$4=0,$B48&gt;IF(Start!$D$10="Avalanche",Calc!$B$3,Calc!$B$2)),Calc!$B$10=0),"",IF(N(P47)&lt;=0.005,"",IF(Start!$D$10="Avalanche",INDEX(Calc!DX$75:DX$89,Calc!$F$10),INDEX(Calc!DX$50:DX$64,Calc!$D$10))))</f>
        <v/>
      </c>
      <c r="Q48" s="20">
        <f>IF(R48="","",N(R47)*(1+Start!$E$19/12)-R48)</f>
        <v/>
      </c>
      <c r="R48" s="20">
        <f>IF(OR(OR(Calc!$B$4=0,$B48&gt;IF(Start!$D$10="Avalanche",Calc!$B$3,Calc!$B$2)),Calc!$B$11=0),"",IF(N(R47)&lt;=0.005,"",IF(Start!$D$10="Avalanche",INDEX(Calc!DX$75:DX$89,Calc!$F$11),INDEX(Calc!DX$50:DX$64,Calc!$D$11))))</f>
        <v/>
      </c>
      <c r="S48" s="20">
        <f>IF(T48="","",N(T47)*(1+Start!$E$20/12)-T48)</f>
        <v/>
      </c>
      <c r="T48" s="20">
        <f>IF(OR(OR(Calc!$B$4=0,$B48&gt;IF(Start!$D$10="Avalanche",Calc!$B$3,Calc!$B$2)),Calc!$B$12=0),"",IF(N(T47)&lt;=0.005,"",IF(Start!$D$10="Avalanche",INDEX(Calc!DX$75:DX$89,Calc!$F$12),INDEX(Calc!DX$50:DX$64,Calc!$D$12))))</f>
        <v/>
      </c>
      <c r="U48" s="20">
        <f>IF(V48="","",N(V47)*(1+Start!$E$21/12)-V48)</f>
        <v/>
      </c>
      <c r="V48" s="20">
        <f>IF(OR(OR(Calc!$B$4=0,$B48&gt;IF(Start!$D$10="Avalanche",Calc!$B$3,Calc!$B$2)),Calc!$B$13=0),"",IF(N(V47)&lt;=0.005,"",IF(Start!$D$10="Avalanche",INDEX(Calc!DX$75:DX$89,Calc!$F$13),INDEX(Calc!DX$50:DX$64,Calc!$D$13))))</f>
        <v/>
      </c>
      <c r="W48" s="20">
        <f>IF(X48="","",N(X47)*(1+Start!$E$22/12)-X48)</f>
        <v/>
      </c>
      <c r="X48" s="20">
        <f>IF(OR(OR(Calc!$B$4=0,$B48&gt;IF(Start!$D$10="Avalanche",Calc!$B$3,Calc!$B$2)),Calc!$B$14=0),"",IF(N(X47)&lt;=0.005,"",IF(Start!$D$10="Avalanche",INDEX(Calc!DX$75:DX$89,Calc!$F$14),INDEX(Calc!DX$50:DX$64,Calc!$D$14))))</f>
        <v/>
      </c>
      <c r="Y48" s="20">
        <f>IF(Z48="","",N(Z47)*(1+Start!$E$23/12)-Z48)</f>
        <v/>
      </c>
      <c r="Z48" s="20">
        <f>IF(OR(OR(Calc!$B$4=0,$B48&gt;IF(Start!$D$10="Avalanche",Calc!$B$3,Calc!$B$2)),Calc!$B$15=0),"",IF(N(Z47)&lt;=0.005,"",IF(Start!$D$10="Avalanche",INDEX(Calc!DX$75:DX$89,Calc!$F$15),INDEX(Calc!DX$50:DX$64,Calc!$D$15))))</f>
        <v/>
      </c>
      <c r="AA48" s="20">
        <f>IF(AB48="","",N(AB47)*(1+Start!$E$24/12)-AB48)</f>
        <v/>
      </c>
      <c r="AB48" s="20">
        <f>IF(OR(OR(Calc!$B$4=0,$B48&gt;IF(Start!$D$10="Avalanche",Calc!$B$3,Calc!$B$2)),Calc!$B$16=0),"",IF(N(AB47)&lt;=0.005,"",IF(Start!$D$10="Avalanche",INDEX(Calc!DX$75:DX$89,Calc!$F$16),INDEX(Calc!DX$50:DX$64,Calc!$D$16))))</f>
        <v/>
      </c>
      <c r="AC48" s="20">
        <f>IF(AD48="","",N(AD47)*(1+Start!$E$25/12)-AD48)</f>
        <v/>
      </c>
      <c r="AD48" s="20">
        <f>IF(OR(OR(Calc!$B$4=0,$B48&gt;IF(Start!$D$10="Avalanche",Calc!$B$3,Calc!$B$2)),Calc!$B$17=0),"",IF(N(AD47)&lt;=0.005,"",IF(Start!$D$10="Avalanche",INDEX(Calc!DX$75:DX$89,Calc!$F$17),INDEX(Calc!DX$50:DX$64,Calc!$D$17))))</f>
        <v/>
      </c>
      <c r="AE48" s="20">
        <f>IF(AF48="","",N(AF47)*(1+Start!$E$26/12)-AF48)</f>
        <v/>
      </c>
      <c r="AF48" s="20">
        <f>IF(OR(OR(Calc!$B$4=0,$B48&gt;IF(Start!$D$10="Avalanche",Calc!$B$3,Calc!$B$2)),Calc!$B$18=0),"",IF(N(AF47)&lt;=0.005,"",IF(Start!$D$10="Avalanche",INDEX(Calc!DX$75:DX$89,Calc!$F$18),INDEX(Calc!DX$50:DX$64,Calc!$D$18))))</f>
        <v/>
      </c>
      <c r="AG48" s="20">
        <f>IF(AH48="","",N(AH47)*(1+Start!$E$27/12)-AH48)</f>
        <v/>
      </c>
      <c r="AH48" s="20">
        <f>IF(OR(OR(Calc!$B$4=0,$B48&gt;IF(Start!$D$10="Avalanche",Calc!$B$3,Calc!$B$2)),Calc!$B$19=0),"",IF(N(AH47)&lt;=0.005,"",IF(Start!$D$10="Avalanche",INDEX(Calc!DX$75:DX$89,Calc!$F$19),INDEX(Calc!DX$50:DX$64,Calc!$D$19))))</f>
        <v/>
      </c>
      <c r="AI48" s="20">
        <f>IF(AJ48="","",N(AJ47)*(1+Start!$E$28/12)-AJ48)</f>
        <v/>
      </c>
      <c r="AJ48" s="20">
        <f>IF(OR(OR(Calc!$B$4=0,$B48&gt;IF(Start!$D$10="Avalanche",Calc!$B$3,Calc!$B$2)),Calc!$B$20=0),"",IF(N(AJ47)&lt;=0.005,"",IF(Start!$D$10="Avalanche",INDEX(Calc!DX$75:DX$89,Calc!$F$20),INDEX(Calc!DX$50:DX$64,Calc!$D$20))))</f>
        <v/>
      </c>
    </row>
    <row r="49">
      <c r="B49" s="17" t="n">
        <v>43</v>
      </c>
      <c r="C49" s="19">
        <f>IF(Calc!$B$4=0,"",EDATE(Start!$D$11,42))</f>
        <v/>
      </c>
      <c r="D49" s="20">
        <f>IF(OR(Calc!$B$4=0,$B49&gt;IF(Start!$D$10="Avalanche",Calc!$B$3,Calc!$B$2)),"",SUM(G49,I49,K49,M49,O49,Q49,S49,U49,W49,Y49,AA49,AC49,AE49,AG49,AI49))</f>
        <v/>
      </c>
      <c r="E49" s="20">
        <f>IF(OR(Calc!$B$4=0,$B49&gt;IF(Start!$D$10="Avalanche",Calc!$B$3,Calc!$B$2)),"",IF(Start!$D$10="Avalanche",Calc!DY$72,Calc!DY$47))</f>
        <v/>
      </c>
      <c r="F49" s="21">
        <f>IF(Calc!$B$4=0,"",IF($B49&gt;IF(Start!$D$10="Avalanche",Calc!$B$3,Calc!$B$2),NA(),SUM(H49,J49,L49,N49,P49,R49,T49,V49,X49,Z49,AB49,AD49,AF49,AH49,AJ49)))</f>
        <v/>
      </c>
      <c r="G49" s="20">
        <f>IF(H49="","",N(H48)*(1+Start!$E$14/12)-H49)</f>
        <v/>
      </c>
      <c r="H49" s="20">
        <f>IF(OR(OR(Calc!$B$4=0,$B49&gt;IF(Start!$D$10="Avalanche",Calc!$B$3,Calc!$B$2)),Calc!$B$6=0),"",IF(N(H48)&lt;=0.005,"",IF(Start!$D$10="Avalanche",INDEX(Calc!EA$75:EA$89,Calc!$F$6),INDEX(Calc!EA$50:EA$64,Calc!$D$6))))</f>
        <v/>
      </c>
      <c r="I49" s="20">
        <f>IF(J49="","",N(J48)*(1+Start!$E$15/12)-J49)</f>
        <v/>
      </c>
      <c r="J49" s="20">
        <f>IF(OR(OR(Calc!$B$4=0,$B49&gt;IF(Start!$D$10="Avalanche",Calc!$B$3,Calc!$B$2)),Calc!$B$7=0),"",IF(N(J48)&lt;=0.005,"",IF(Start!$D$10="Avalanche",INDEX(Calc!EA$75:EA$89,Calc!$F$7),INDEX(Calc!EA$50:EA$64,Calc!$D$7))))</f>
        <v/>
      </c>
      <c r="K49" s="20">
        <f>IF(L49="","",N(L48)*(1+Start!$E$16/12)-L49)</f>
        <v/>
      </c>
      <c r="L49" s="20">
        <f>IF(OR(OR(Calc!$B$4=0,$B49&gt;IF(Start!$D$10="Avalanche",Calc!$B$3,Calc!$B$2)),Calc!$B$8=0),"",IF(N(L48)&lt;=0.005,"",IF(Start!$D$10="Avalanche",INDEX(Calc!EA$75:EA$89,Calc!$F$8),INDEX(Calc!EA$50:EA$64,Calc!$D$8))))</f>
        <v/>
      </c>
      <c r="M49" s="20">
        <f>IF(N49="","",N(N48)*(1+Start!$E$17/12)-N49)</f>
        <v/>
      </c>
      <c r="N49" s="20">
        <f>IF(OR(OR(Calc!$B$4=0,$B49&gt;IF(Start!$D$10="Avalanche",Calc!$B$3,Calc!$B$2)),Calc!$B$9=0),"",IF(N(N48)&lt;=0.005,"",IF(Start!$D$10="Avalanche",INDEX(Calc!EA$75:EA$89,Calc!$F$9),INDEX(Calc!EA$50:EA$64,Calc!$D$9))))</f>
        <v/>
      </c>
      <c r="O49" s="20">
        <f>IF(P49="","",N(P48)*(1+Start!$E$18/12)-P49)</f>
        <v/>
      </c>
      <c r="P49" s="20">
        <f>IF(OR(OR(Calc!$B$4=0,$B49&gt;IF(Start!$D$10="Avalanche",Calc!$B$3,Calc!$B$2)),Calc!$B$10=0),"",IF(N(P48)&lt;=0.005,"",IF(Start!$D$10="Avalanche",INDEX(Calc!EA$75:EA$89,Calc!$F$10),INDEX(Calc!EA$50:EA$64,Calc!$D$10))))</f>
        <v/>
      </c>
      <c r="Q49" s="20">
        <f>IF(R49="","",N(R48)*(1+Start!$E$19/12)-R49)</f>
        <v/>
      </c>
      <c r="R49" s="20">
        <f>IF(OR(OR(Calc!$B$4=0,$B49&gt;IF(Start!$D$10="Avalanche",Calc!$B$3,Calc!$B$2)),Calc!$B$11=0),"",IF(N(R48)&lt;=0.005,"",IF(Start!$D$10="Avalanche",INDEX(Calc!EA$75:EA$89,Calc!$F$11),INDEX(Calc!EA$50:EA$64,Calc!$D$11))))</f>
        <v/>
      </c>
      <c r="S49" s="20">
        <f>IF(T49="","",N(T48)*(1+Start!$E$20/12)-T49)</f>
        <v/>
      </c>
      <c r="T49" s="20">
        <f>IF(OR(OR(Calc!$B$4=0,$B49&gt;IF(Start!$D$10="Avalanche",Calc!$B$3,Calc!$B$2)),Calc!$B$12=0),"",IF(N(T48)&lt;=0.005,"",IF(Start!$D$10="Avalanche",INDEX(Calc!EA$75:EA$89,Calc!$F$12),INDEX(Calc!EA$50:EA$64,Calc!$D$12))))</f>
        <v/>
      </c>
      <c r="U49" s="20">
        <f>IF(V49="","",N(V48)*(1+Start!$E$21/12)-V49)</f>
        <v/>
      </c>
      <c r="V49" s="20">
        <f>IF(OR(OR(Calc!$B$4=0,$B49&gt;IF(Start!$D$10="Avalanche",Calc!$B$3,Calc!$B$2)),Calc!$B$13=0),"",IF(N(V48)&lt;=0.005,"",IF(Start!$D$10="Avalanche",INDEX(Calc!EA$75:EA$89,Calc!$F$13),INDEX(Calc!EA$50:EA$64,Calc!$D$13))))</f>
        <v/>
      </c>
      <c r="W49" s="20">
        <f>IF(X49="","",N(X48)*(1+Start!$E$22/12)-X49)</f>
        <v/>
      </c>
      <c r="X49" s="20">
        <f>IF(OR(OR(Calc!$B$4=0,$B49&gt;IF(Start!$D$10="Avalanche",Calc!$B$3,Calc!$B$2)),Calc!$B$14=0),"",IF(N(X48)&lt;=0.005,"",IF(Start!$D$10="Avalanche",INDEX(Calc!EA$75:EA$89,Calc!$F$14),INDEX(Calc!EA$50:EA$64,Calc!$D$14))))</f>
        <v/>
      </c>
      <c r="Y49" s="20">
        <f>IF(Z49="","",N(Z48)*(1+Start!$E$23/12)-Z49)</f>
        <v/>
      </c>
      <c r="Z49" s="20">
        <f>IF(OR(OR(Calc!$B$4=0,$B49&gt;IF(Start!$D$10="Avalanche",Calc!$B$3,Calc!$B$2)),Calc!$B$15=0),"",IF(N(Z48)&lt;=0.005,"",IF(Start!$D$10="Avalanche",INDEX(Calc!EA$75:EA$89,Calc!$F$15),INDEX(Calc!EA$50:EA$64,Calc!$D$15))))</f>
        <v/>
      </c>
      <c r="AA49" s="20">
        <f>IF(AB49="","",N(AB48)*(1+Start!$E$24/12)-AB49)</f>
        <v/>
      </c>
      <c r="AB49" s="20">
        <f>IF(OR(OR(Calc!$B$4=0,$B49&gt;IF(Start!$D$10="Avalanche",Calc!$B$3,Calc!$B$2)),Calc!$B$16=0),"",IF(N(AB48)&lt;=0.005,"",IF(Start!$D$10="Avalanche",INDEX(Calc!EA$75:EA$89,Calc!$F$16),INDEX(Calc!EA$50:EA$64,Calc!$D$16))))</f>
        <v/>
      </c>
      <c r="AC49" s="20">
        <f>IF(AD49="","",N(AD48)*(1+Start!$E$25/12)-AD49)</f>
        <v/>
      </c>
      <c r="AD49" s="20">
        <f>IF(OR(OR(Calc!$B$4=0,$B49&gt;IF(Start!$D$10="Avalanche",Calc!$B$3,Calc!$B$2)),Calc!$B$17=0),"",IF(N(AD48)&lt;=0.005,"",IF(Start!$D$10="Avalanche",INDEX(Calc!EA$75:EA$89,Calc!$F$17),INDEX(Calc!EA$50:EA$64,Calc!$D$17))))</f>
        <v/>
      </c>
      <c r="AE49" s="20">
        <f>IF(AF49="","",N(AF48)*(1+Start!$E$26/12)-AF49)</f>
        <v/>
      </c>
      <c r="AF49" s="20">
        <f>IF(OR(OR(Calc!$B$4=0,$B49&gt;IF(Start!$D$10="Avalanche",Calc!$B$3,Calc!$B$2)),Calc!$B$18=0),"",IF(N(AF48)&lt;=0.005,"",IF(Start!$D$10="Avalanche",INDEX(Calc!EA$75:EA$89,Calc!$F$18),INDEX(Calc!EA$50:EA$64,Calc!$D$18))))</f>
        <v/>
      </c>
      <c r="AG49" s="20">
        <f>IF(AH49="","",N(AH48)*(1+Start!$E$27/12)-AH49)</f>
        <v/>
      </c>
      <c r="AH49" s="20">
        <f>IF(OR(OR(Calc!$B$4=0,$B49&gt;IF(Start!$D$10="Avalanche",Calc!$B$3,Calc!$B$2)),Calc!$B$19=0),"",IF(N(AH48)&lt;=0.005,"",IF(Start!$D$10="Avalanche",INDEX(Calc!EA$75:EA$89,Calc!$F$19),INDEX(Calc!EA$50:EA$64,Calc!$D$19))))</f>
        <v/>
      </c>
      <c r="AI49" s="20">
        <f>IF(AJ49="","",N(AJ48)*(1+Start!$E$28/12)-AJ49)</f>
        <v/>
      </c>
      <c r="AJ49" s="20">
        <f>IF(OR(OR(Calc!$B$4=0,$B49&gt;IF(Start!$D$10="Avalanche",Calc!$B$3,Calc!$B$2)),Calc!$B$20=0),"",IF(N(AJ48)&lt;=0.005,"",IF(Start!$D$10="Avalanche",INDEX(Calc!EA$75:EA$89,Calc!$F$20),INDEX(Calc!EA$50:EA$64,Calc!$D$20))))</f>
        <v/>
      </c>
    </row>
    <row r="50">
      <c r="B50" s="17" t="n">
        <v>44</v>
      </c>
      <c r="C50" s="19">
        <f>IF(Calc!$B$4=0,"",EDATE(Start!$D$11,43))</f>
        <v/>
      </c>
      <c r="D50" s="20">
        <f>IF(OR(Calc!$B$4=0,$B50&gt;IF(Start!$D$10="Avalanche",Calc!$B$3,Calc!$B$2)),"",SUM(G50,I50,K50,M50,O50,Q50,S50,U50,W50,Y50,AA50,AC50,AE50,AG50,AI50))</f>
        <v/>
      </c>
      <c r="E50" s="20">
        <f>IF(OR(Calc!$B$4=0,$B50&gt;IF(Start!$D$10="Avalanche",Calc!$B$3,Calc!$B$2)),"",IF(Start!$D$10="Avalanche",Calc!EB$72,Calc!EB$47))</f>
        <v/>
      </c>
      <c r="F50" s="21">
        <f>IF(Calc!$B$4=0,"",IF($B50&gt;IF(Start!$D$10="Avalanche",Calc!$B$3,Calc!$B$2),NA(),SUM(H50,J50,L50,N50,P50,R50,T50,V50,X50,Z50,AB50,AD50,AF50,AH50,AJ50)))</f>
        <v/>
      </c>
      <c r="G50" s="20">
        <f>IF(H50="","",N(H49)*(1+Start!$E$14/12)-H50)</f>
        <v/>
      </c>
      <c r="H50" s="20">
        <f>IF(OR(OR(Calc!$B$4=0,$B50&gt;IF(Start!$D$10="Avalanche",Calc!$B$3,Calc!$B$2)),Calc!$B$6=0),"",IF(N(H49)&lt;=0.005,"",IF(Start!$D$10="Avalanche",INDEX(Calc!ED$75:ED$89,Calc!$F$6),INDEX(Calc!ED$50:ED$64,Calc!$D$6))))</f>
        <v/>
      </c>
      <c r="I50" s="20">
        <f>IF(J50="","",N(J49)*(1+Start!$E$15/12)-J50)</f>
        <v/>
      </c>
      <c r="J50" s="20">
        <f>IF(OR(OR(Calc!$B$4=0,$B50&gt;IF(Start!$D$10="Avalanche",Calc!$B$3,Calc!$B$2)),Calc!$B$7=0),"",IF(N(J49)&lt;=0.005,"",IF(Start!$D$10="Avalanche",INDEX(Calc!ED$75:ED$89,Calc!$F$7),INDEX(Calc!ED$50:ED$64,Calc!$D$7))))</f>
        <v/>
      </c>
      <c r="K50" s="20">
        <f>IF(L50="","",N(L49)*(1+Start!$E$16/12)-L50)</f>
        <v/>
      </c>
      <c r="L50" s="20">
        <f>IF(OR(OR(Calc!$B$4=0,$B50&gt;IF(Start!$D$10="Avalanche",Calc!$B$3,Calc!$B$2)),Calc!$B$8=0),"",IF(N(L49)&lt;=0.005,"",IF(Start!$D$10="Avalanche",INDEX(Calc!ED$75:ED$89,Calc!$F$8),INDEX(Calc!ED$50:ED$64,Calc!$D$8))))</f>
        <v/>
      </c>
      <c r="M50" s="20">
        <f>IF(N50="","",N(N49)*(1+Start!$E$17/12)-N50)</f>
        <v/>
      </c>
      <c r="N50" s="20">
        <f>IF(OR(OR(Calc!$B$4=0,$B50&gt;IF(Start!$D$10="Avalanche",Calc!$B$3,Calc!$B$2)),Calc!$B$9=0),"",IF(N(N49)&lt;=0.005,"",IF(Start!$D$10="Avalanche",INDEX(Calc!ED$75:ED$89,Calc!$F$9),INDEX(Calc!ED$50:ED$64,Calc!$D$9))))</f>
        <v/>
      </c>
      <c r="O50" s="20">
        <f>IF(P50="","",N(P49)*(1+Start!$E$18/12)-P50)</f>
        <v/>
      </c>
      <c r="P50" s="20">
        <f>IF(OR(OR(Calc!$B$4=0,$B50&gt;IF(Start!$D$10="Avalanche",Calc!$B$3,Calc!$B$2)),Calc!$B$10=0),"",IF(N(P49)&lt;=0.005,"",IF(Start!$D$10="Avalanche",INDEX(Calc!ED$75:ED$89,Calc!$F$10),INDEX(Calc!ED$50:ED$64,Calc!$D$10))))</f>
        <v/>
      </c>
      <c r="Q50" s="20">
        <f>IF(R50="","",N(R49)*(1+Start!$E$19/12)-R50)</f>
        <v/>
      </c>
      <c r="R50" s="20">
        <f>IF(OR(OR(Calc!$B$4=0,$B50&gt;IF(Start!$D$10="Avalanche",Calc!$B$3,Calc!$B$2)),Calc!$B$11=0),"",IF(N(R49)&lt;=0.005,"",IF(Start!$D$10="Avalanche",INDEX(Calc!ED$75:ED$89,Calc!$F$11),INDEX(Calc!ED$50:ED$64,Calc!$D$11))))</f>
        <v/>
      </c>
      <c r="S50" s="20">
        <f>IF(T50="","",N(T49)*(1+Start!$E$20/12)-T50)</f>
        <v/>
      </c>
      <c r="T50" s="20">
        <f>IF(OR(OR(Calc!$B$4=0,$B50&gt;IF(Start!$D$10="Avalanche",Calc!$B$3,Calc!$B$2)),Calc!$B$12=0),"",IF(N(T49)&lt;=0.005,"",IF(Start!$D$10="Avalanche",INDEX(Calc!ED$75:ED$89,Calc!$F$12),INDEX(Calc!ED$50:ED$64,Calc!$D$12))))</f>
        <v/>
      </c>
      <c r="U50" s="20">
        <f>IF(V50="","",N(V49)*(1+Start!$E$21/12)-V50)</f>
        <v/>
      </c>
      <c r="V50" s="20">
        <f>IF(OR(OR(Calc!$B$4=0,$B50&gt;IF(Start!$D$10="Avalanche",Calc!$B$3,Calc!$B$2)),Calc!$B$13=0),"",IF(N(V49)&lt;=0.005,"",IF(Start!$D$10="Avalanche",INDEX(Calc!ED$75:ED$89,Calc!$F$13),INDEX(Calc!ED$50:ED$64,Calc!$D$13))))</f>
        <v/>
      </c>
      <c r="W50" s="20">
        <f>IF(X50="","",N(X49)*(1+Start!$E$22/12)-X50)</f>
        <v/>
      </c>
      <c r="X50" s="20">
        <f>IF(OR(OR(Calc!$B$4=0,$B50&gt;IF(Start!$D$10="Avalanche",Calc!$B$3,Calc!$B$2)),Calc!$B$14=0),"",IF(N(X49)&lt;=0.005,"",IF(Start!$D$10="Avalanche",INDEX(Calc!ED$75:ED$89,Calc!$F$14),INDEX(Calc!ED$50:ED$64,Calc!$D$14))))</f>
        <v/>
      </c>
      <c r="Y50" s="20">
        <f>IF(Z50="","",N(Z49)*(1+Start!$E$23/12)-Z50)</f>
        <v/>
      </c>
      <c r="Z50" s="20">
        <f>IF(OR(OR(Calc!$B$4=0,$B50&gt;IF(Start!$D$10="Avalanche",Calc!$B$3,Calc!$B$2)),Calc!$B$15=0),"",IF(N(Z49)&lt;=0.005,"",IF(Start!$D$10="Avalanche",INDEX(Calc!ED$75:ED$89,Calc!$F$15),INDEX(Calc!ED$50:ED$64,Calc!$D$15))))</f>
        <v/>
      </c>
      <c r="AA50" s="20">
        <f>IF(AB50="","",N(AB49)*(1+Start!$E$24/12)-AB50)</f>
        <v/>
      </c>
      <c r="AB50" s="20">
        <f>IF(OR(OR(Calc!$B$4=0,$B50&gt;IF(Start!$D$10="Avalanche",Calc!$B$3,Calc!$B$2)),Calc!$B$16=0),"",IF(N(AB49)&lt;=0.005,"",IF(Start!$D$10="Avalanche",INDEX(Calc!ED$75:ED$89,Calc!$F$16),INDEX(Calc!ED$50:ED$64,Calc!$D$16))))</f>
        <v/>
      </c>
      <c r="AC50" s="20">
        <f>IF(AD50="","",N(AD49)*(1+Start!$E$25/12)-AD50)</f>
        <v/>
      </c>
      <c r="AD50" s="20">
        <f>IF(OR(OR(Calc!$B$4=0,$B50&gt;IF(Start!$D$10="Avalanche",Calc!$B$3,Calc!$B$2)),Calc!$B$17=0),"",IF(N(AD49)&lt;=0.005,"",IF(Start!$D$10="Avalanche",INDEX(Calc!ED$75:ED$89,Calc!$F$17),INDEX(Calc!ED$50:ED$64,Calc!$D$17))))</f>
        <v/>
      </c>
      <c r="AE50" s="20">
        <f>IF(AF50="","",N(AF49)*(1+Start!$E$26/12)-AF50)</f>
        <v/>
      </c>
      <c r="AF50" s="20">
        <f>IF(OR(OR(Calc!$B$4=0,$B50&gt;IF(Start!$D$10="Avalanche",Calc!$B$3,Calc!$B$2)),Calc!$B$18=0),"",IF(N(AF49)&lt;=0.005,"",IF(Start!$D$10="Avalanche",INDEX(Calc!ED$75:ED$89,Calc!$F$18),INDEX(Calc!ED$50:ED$64,Calc!$D$18))))</f>
        <v/>
      </c>
      <c r="AG50" s="20">
        <f>IF(AH50="","",N(AH49)*(1+Start!$E$27/12)-AH50)</f>
        <v/>
      </c>
      <c r="AH50" s="20">
        <f>IF(OR(OR(Calc!$B$4=0,$B50&gt;IF(Start!$D$10="Avalanche",Calc!$B$3,Calc!$B$2)),Calc!$B$19=0),"",IF(N(AH49)&lt;=0.005,"",IF(Start!$D$10="Avalanche",INDEX(Calc!ED$75:ED$89,Calc!$F$19),INDEX(Calc!ED$50:ED$64,Calc!$D$19))))</f>
        <v/>
      </c>
      <c r="AI50" s="20">
        <f>IF(AJ50="","",N(AJ49)*(1+Start!$E$28/12)-AJ50)</f>
        <v/>
      </c>
      <c r="AJ50" s="20">
        <f>IF(OR(OR(Calc!$B$4=0,$B50&gt;IF(Start!$D$10="Avalanche",Calc!$B$3,Calc!$B$2)),Calc!$B$20=0),"",IF(N(AJ49)&lt;=0.005,"",IF(Start!$D$10="Avalanche",INDEX(Calc!ED$75:ED$89,Calc!$F$20),INDEX(Calc!ED$50:ED$64,Calc!$D$20))))</f>
        <v/>
      </c>
    </row>
    <row r="51">
      <c r="B51" s="17" t="n">
        <v>45</v>
      </c>
      <c r="C51" s="19">
        <f>IF(Calc!$B$4=0,"",EDATE(Start!$D$11,44))</f>
        <v/>
      </c>
      <c r="D51" s="20">
        <f>IF(OR(Calc!$B$4=0,$B51&gt;IF(Start!$D$10="Avalanche",Calc!$B$3,Calc!$B$2)),"",SUM(G51,I51,K51,M51,O51,Q51,S51,U51,W51,Y51,AA51,AC51,AE51,AG51,AI51))</f>
        <v/>
      </c>
      <c r="E51" s="20">
        <f>IF(OR(Calc!$B$4=0,$B51&gt;IF(Start!$D$10="Avalanche",Calc!$B$3,Calc!$B$2)),"",IF(Start!$D$10="Avalanche",Calc!EE$72,Calc!EE$47))</f>
        <v/>
      </c>
      <c r="F51" s="21">
        <f>IF(Calc!$B$4=0,"",IF($B51&gt;IF(Start!$D$10="Avalanche",Calc!$B$3,Calc!$B$2),NA(),SUM(H51,J51,L51,N51,P51,R51,T51,V51,X51,Z51,AB51,AD51,AF51,AH51,AJ51)))</f>
        <v/>
      </c>
      <c r="G51" s="20">
        <f>IF(H51="","",N(H50)*(1+Start!$E$14/12)-H51)</f>
        <v/>
      </c>
      <c r="H51" s="20">
        <f>IF(OR(OR(Calc!$B$4=0,$B51&gt;IF(Start!$D$10="Avalanche",Calc!$B$3,Calc!$B$2)),Calc!$B$6=0),"",IF(N(H50)&lt;=0.005,"",IF(Start!$D$10="Avalanche",INDEX(Calc!EG$75:EG$89,Calc!$F$6),INDEX(Calc!EG$50:EG$64,Calc!$D$6))))</f>
        <v/>
      </c>
      <c r="I51" s="20">
        <f>IF(J51="","",N(J50)*(1+Start!$E$15/12)-J51)</f>
        <v/>
      </c>
      <c r="J51" s="20">
        <f>IF(OR(OR(Calc!$B$4=0,$B51&gt;IF(Start!$D$10="Avalanche",Calc!$B$3,Calc!$B$2)),Calc!$B$7=0),"",IF(N(J50)&lt;=0.005,"",IF(Start!$D$10="Avalanche",INDEX(Calc!EG$75:EG$89,Calc!$F$7),INDEX(Calc!EG$50:EG$64,Calc!$D$7))))</f>
        <v/>
      </c>
      <c r="K51" s="20">
        <f>IF(L51="","",N(L50)*(1+Start!$E$16/12)-L51)</f>
        <v/>
      </c>
      <c r="L51" s="20">
        <f>IF(OR(OR(Calc!$B$4=0,$B51&gt;IF(Start!$D$10="Avalanche",Calc!$B$3,Calc!$B$2)),Calc!$B$8=0),"",IF(N(L50)&lt;=0.005,"",IF(Start!$D$10="Avalanche",INDEX(Calc!EG$75:EG$89,Calc!$F$8),INDEX(Calc!EG$50:EG$64,Calc!$D$8))))</f>
        <v/>
      </c>
      <c r="M51" s="20">
        <f>IF(N51="","",N(N50)*(1+Start!$E$17/12)-N51)</f>
        <v/>
      </c>
      <c r="N51" s="20">
        <f>IF(OR(OR(Calc!$B$4=0,$B51&gt;IF(Start!$D$10="Avalanche",Calc!$B$3,Calc!$B$2)),Calc!$B$9=0),"",IF(N(N50)&lt;=0.005,"",IF(Start!$D$10="Avalanche",INDEX(Calc!EG$75:EG$89,Calc!$F$9),INDEX(Calc!EG$50:EG$64,Calc!$D$9))))</f>
        <v/>
      </c>
      <c r="O51" s="20">
        <f>IF(P51="","",N(P50)*(1+Start!$E$18/12)-P51)</f>
        <v/>
      </c>
      <c r="P51" s="20">
        <f>IF(OR(OR(Calc!$B$4=0,$B51&gt;IF(Start!$D$10="Avalanche",Calc!$B$3,Calc!$B$2)),Calc!$B$10=0),"",IF(N(P50)&lt;=0.005,"",IF(Start!$D$10="Avalanche",INDEX(Calc!EG$75:EG$89,Calc!$F$10),INDEX(Calc!EG$50:EG$64,Calc!$D$10))))</f>
        <v/>
      </c>
      <c r="Q51" s="20">
        <f>IF(R51="","",N(R50)*(1+Start!$E$19/12)-R51)</f>
        <v/>
      </c>
      <c r="R51" s="20">
        <f>IF(OR(OR(Calc!$B$4=0,$B51&gt;IF(Start!$D$10="Avalanche",Calc!$B$3,Calc!$B$2)),Calc!$B$11=0),"",IF(N(R50)&lt;=0.005,"",IF(Start!$D$10="Avalanche",INDEX(Calc!EG$75:EG$89,Calc!$F$11),INDEX(Calc!EG$50:EG$64,Calc!$D$11))))</f>
        <v/>
      </c>
      <c r="S51" s="20">
        <f>IF(T51="","",N(T50)*(1+Start!$E$20/12)-T51)</f>
        <v/>
      </c>
      <c r="T51" s="20">
        <f>IF(OR(OR(Calc!$B$4=0,$B51&gt;IF(Start!$D$10="Avalanche",Calc!$B$3,Calc!$B$2)),Calc!$B$12=0),"",IF(N(T50)&lt;=0.005,"",IF(Start!$D$10="Avalanche",INDEX(Calc!EG$75:EG$89,Calc!$F$12),INDEX(Calc!EG$50:EG$64,Calc!$D$12))))</f>
        <v/>
      </c>
      <c r="U51" s="20">
        <f>IF(V51="","",N(V50)*(1+Start!$E$21/12)-V51)</f>
        <v/>
      </c>
      <c r="V51" s="20">
        <f>IF(OR(OR(Calc!$B$4=0,$B51&gt;IF(Start!$D$10="Avalanche",Calc!$B$3,Calc!$B$2)),Calc!$B$13=0),"",IF(N(V50)&lt;=0.005,"",IF(Start!$D$10="Avalanche",INDEX(Calc!EG$75:EG$89,Calc!$F$13),INDEX(Calc!EG$50:EG$64,Calc!$D$13))))</f>
        <v/>
      </c>
      <c r="W51" s="20">
        <f>IF(X51="","",N(X50)*(1+Start!$E$22/12)-X51)</f>
        <v/>
      </c>
      <c r="X51" s="20">
        <f>IF(OR(OR(Calc!$B$4=0,$B51&gt;IF(Start!$D$10="Avalanche",Calc!$B$3,Calc!$B$2)),Calc!$B$14=0),"",IF(N(X50)&lt;=0.005,"",IF(Start!$D$10="Avalanche",INDEX(Calc!EG$75:EG$89,Calc!$F$14),INDEX(Calc!EG$50:EG$64,Calc!$D$14))))</f>
        <v/>
      </c>
      <c r="Y51" s="20">
        <f>IF(Z51="","",N(Z50)*(1+Start!$E$23/12)-Z51)</f>
        <v/>
      </c>
      <c r="Z51" s="20">
        <f>IF(OR(OR(Calc!$B$4=0,$B51&gt;IF(Start!$D$10="Avalanche",Calc!$B$3,Calc!$B$2)),Calc!$B$15=0),"",IF(N(Z50)&lt;=0.005,"",IF(Start!$D$10="Avalanche",INDEX(Calc!EG$75:EG$89,Calc!$F$15),INDEX(Calc!EG$50:EG$64,Calc!$D$15))))</f>
        <v/>
      </c>
      <c r="AA51" s="20">
        <f>IF(AB51="","",N(AB50)*(1+Start!$E$24/12)-AB51)</f>
        <v/>
      </c>
      <c r="AB51" s="20">
        <f>IF(OR(OR(Calc!$B$4=0,$B51&gt;IF(Start!$D$10="Avalanche",Calc!$B$3,Calc!$B$2)),Calc!$B$16=0),"",IF(N(AB50)&lt;=0.005,"",IF(Start!$D$10="Avalanche",INDEX(Calc!EG$75:EG$89,Calc!$F$16),INDEX(Calc!EG$50:EG$64,Calc!$D$16))))</f>
        <v/>
      </c>
      <c r="AC51" s="20">
        <f>IF(AD51="","",N(AD50)*(1+Start!$E$25/12)-AD51)</f>
        <v/>
      </c>
      <c r="AD51" s="20">
        <f>IF(OR(OR(Calc!$B$4=0,$B51&gt;IF(Start!$D$10="Avalanche",Calc!$B$3,Calc!$B$2)),Calc!$B$17=0),"",IF(N(AD50)&lt;=0.005,"",IF(Start!$D$10="Avalanche",INDEX(Calc!EG$75:EG$89,Calc!$F$17),INDEX(Calc!EG$50:EG$64,Calc!$D$17))))</f>
        <v/>
      </c>
      <c r="AE51" s="20">
        <f>IF(AF51="","",N(AF50)*(1+Start!$E$26/12)-AF51)</f>
        <v/>
      </c>
      <c r="AF51" s="20">
        <f>IF(OR(OR(Calc!$B$4=0,$B51&gt;IF(Start!$D$10="Avalanche",Calc!$B$3,Calc!$B$2)),Calc!$B$18=0),"",IF(N(AF50)&lt;=0.005,"",IF(Start!$D$10="Avalanche",INDEX(Calc!EG$75:EG$89,Calc!$F$18),INDEX(Calc!EG$50:EG$64,Calc!$D$18))))</f>
        <v/>
      </c>
      <c r="AG51" s="20">
        <f>IF(AH51="","",N(AH50)*(1+Start!$E$27/12)-AH51)</f>
        <v/>
      </c>
      <c r="AH51" s="20">
        <f>IF(OR(OR(Calc!$B$4=0,$B51&gt;IF(Start!$D$10="Avalanche",Calc!$B$3,Calc!$B$2)),Calc!$B$19=0),"",IF(N(AH50)&lt;=0.005,"",IF(Start!$D$10="Avalanche",INDEX(Calc!EG$75:EG$89,Calc!$F$19),INDEX(Calc!EG$50:EG$64,Calc!$D$19))))</f>
        <v/>
      </c>
      <c r="AI51" s="20">
        <f>IF(AJ51="","",N(AJ50)*(1+Start!$E$28/12)-AJ51)</f>
        <v/>
      </c>
      <c r="AJ51" s="20">
        <f>IF(OR(OR(Calc!$B$4=0,$B51&gt;IF(Start!$D$10="Avalanche",Calc!$B$3,Calc!$B$2)),Calc!$B$20=0),"",IF(N(AJ50)&lt;=0.005,"",IF(Start!$D$10="Avalanche",INDEX(Calc!EG$75:EG$89,Calc!$F$20),INDEX(Calc!EG$50:EG$64,Calc!$D$20))))</f>
        <v/>
      </c>
    </row>
    <row r="52">
      <c r="B52" s="17" t="n">
        <v>46</v>
      </c>
      <c r="C52" s="19">
        <f>IF(Calc!$B$4=0,"",EDATE(Start!$D$11,45))</f>
        <v/>
      </c>
      <c r="D52" s="20">
        <f>IF(OR(Calc!$B$4=0,$B52&gt;IF(Start!$D$10="Avalanche",Calc!$B$3,Calc!$B$2)),"",SUM(G52,I52,K52,M52,O52,Q52,S52,U52,W52,Y52,AA52,AC52,AE52,AG52,AI52))</f>
        <v/>
      </c>
      <c r="E52" s="20">
        <f>IF(OR(Calc!$B$4=0,$B52&gt;IF(Start!$D$10="Avalanche",Calc!$B$3,Calc!$B$2)),"",IF(Start!$D$10="Avalanche",Calc!EH$72,Calc!EH$47))</f>
        <v/>
      </c>
      <c r="F52" s="21">
        <f>IF(Calc!$B$4=0,"",IF($B52&gt;IF(Start!$D$10="Avalanche",Calc!$B$3,Calc!$B$2),NA(),SUM(H52,J52,L52,N52,P52,R52,T52,V52,X52,Z52,AB52,AD52,AF52,AH52,AJ52)))</f>
        <v/>
      </c>
      <c r="G52" s="20">
        <f>IF(H52="","",N(H51)*(1+Start!$E$14/12)-H52)</f>
        <v/>
      </c>
      <c r="H52" s="20">
        <f>IF(OR(OR(Calc!$B$4=0,$B52&gt;IF(Start!$D$10="Avalanche",Calc!$B$3,Calc!$B$2)),Calc!$B$6=0),"",IF(N(H51)&lt;=0.005,"",IF(Start!$D$10="Avalanche",INDEX(Calc!EJ$75:EJ$89,Calc!$F$6),INDEX(Calc!EJ$50:EJ$64,Calc!$D$6))))</f>
        <v/>
      </c>
      <c r="I52" s="20">
        <f>IF(J52="","",N(J51)*(1+Start!$E$15/12)-J52)</f>
        <v/>
      </c>
      <c r="J52" s="20">
        <f>IF(OR(OR(Calc!$B$4=0,$B52&gt;IF(Start!$D$10="Avalanche",Calc!$B$3,Calc!$B$2)),Calc!$B$7=0),"",IF(N(J51)&lt;=0.005,"",IF(Start!$D$10="Avalanche",INDEX(Calc!EJ$75:EJ$89,Calc!$F$7),INDEX(Calc!EJ$50:EJ$64,Calc!$D$7))))</f>
        <v/>
      </c>
      <c r="K52" s="20">
        <f>IF(L52="","",N(L51)*(1+Start!$E$16/12)-L52)</f>
        <v/>
      </c>
      <c r="L52" s="20">
        <f>IF(OR(OR(Calc!$B$4=0,$B52&gt;IF(Start!$D$10="Avalanche",Calc!$B$3,Calc!$B$2)),Calc!$B$8=0),"",IF(N(L51)&lt;=0.005,"",IF(Start!$D$10="Avalanche",INDEX(Calc!EJ$75:EJ$89,Calc!$F$8),INDEX(Calc!EJ$50:EJ$64,Calc!$D$8))))</f>
        <v/>
      </c>
      <c r="M52" s="20">
        <f>IF(N52="","",N(N51)*(1+Start!$E$17/12)-N52)</f>
        <v/>
      </c>
      <c r="N52" s="20">
        <f>IF(OR(OR(Calc!$B$4=0,$B52&gt;IF(Start!$D$10="Avalanche",Calc!$B$3,Calc!$B$2)),Calc!$B$9=0),"",IF(N(N51)&lt;=0.005,"",IF(Start!$D$10="Avalanche",INDEX(Calc!EJ$75:EJ$89,Calc!$F$9),INDEX(Calc!EJ$50:EJ$64,Calc!$D$9))))</f>
        <v/>
      </c>
      <c r="O52" s="20">
        <f>IF(P52="","",N(P51)*(1+Start!$E$18/12)-P52)</f>
        <v/>
      </c>
      <c r="P52" s="20">
        <f>IF(OR(OR(Calc!$B$4=0,$B52&gt;IF(Start!$D$10="Avalanche",Calc!$B$3,Calc!$B$2)),Calc!$B$10=0),"",IF(N(P51)&lt;=0.005,"",IF(Start!$D$10="Avalanche",INDEX(Calc!EJ$75:EJ$89,Calc!$F$10),INDEX(Calc!EJ$50:EJ$64,Calc!$D$10))))</f>
        <v/>
      </c>
      <c r="Q52" s="20">
        <f>IF(R52="","",N(R51)*(1+Start!$E$19/12)-R52)</f>
        <v/>
      </c>
      <c r="R52" s="20">
        <f>IF(OR(OR(Calc!$B$4=0,$B52&gt;IF(Start!$D$10="Avalanche",Calc!$B$3,Calc!$B$2)),Calc!$B$11=0),"",IF(N(R51)&lt;=0.005,"",IF(Start!$D$10="Avalanche",INDEX(Calc!EJ$75:EJ$89,Calc!$F$11),INDEX(Calc!EJ$50:EJ$64,Calc!$D$11))))</f>
        <v/>
      </c>
      <c r="S52" s="20">
        <f>IF(T52="","",N(T51)*(1+Start!$E$20/12)-T52)</f>
        <v/>
      </c>
      <c r="T52" s="20">
        <f>IF(OR(OR(Calc!$B$4=0,$B52&gt;IF(Start!$D$10="Avalanche",Calc!$B$3,Calc!$B$2)),Calc!$B$12=0),"",IF(N(T51)&lt;=0.005,"",IF(Start!$D$10="Avalanche",INDEX(Calc!EJ$75:EJ$89,Calc!$F$12),INDEX(Calc!EJ$50:EJ$64,Calc!$D$12))))</f>
        <v/>
      </c>
      <c r="U52" s="20">
        <f>IF(V52="","",N(V51)*(1+Start!$E$21/12)-V52)</f>
        <v/>
      </c>
      <c r="V52" s="20">
        <f>IF(OR(OR(Calc!$B$4=0,$B52&gt;IF(Start!$D$10="Avalanche",Calc!$B$3,Calc!$B$2)),Calc!$B$13=0),"",IF(N(V51)&lt;=0.005,"",IF(Start!$D$10="Avalanche",INDEX(Calc!EJ$75:EJ$89,Calc!$F$13),INDEX(Calc!EJ$50:EJ$64,Calc!$D$13))))</f>
        <v/>
      </c>
      <c r="W52" s="20">
        <f>IF(X52="","",N(X51)*(1+Start!$E$22/12)-X52)</f>
        <v/>
      </c>
      <c r="X52" s="20">
        <f>IF(OR(OR(Calc!$B$4=0,$B52&gt;IF(Start!$D$10="Avalanche",Calc!$B$3,Calc!$B$2)),Calc!$B$14=0),"",IF(N(X51)&lt;=0.005,"",IF(Start!$D$10="Avalanche",INDEX(Calc!EJ$75:EJ$89,Calc!$F$14),INDEX(Calc!EJ$50:EJ$64,Calc!$D$14))))</f>
        <v/>
      </c>
      <c r="Y52" s="20">
        <f>IF(Z52="","",N(Z51)*(1+Start!$E$23/12)-Z52)</f>
        <v/>
      </c>
      <c r="Z52" s="20">
        <f>IF(OR(OR(Calc!$B$4=0,$B52&gt;IF(Start!$D$10="Avalanche",Calc!$B$3,Calc!$B$2)),Calc!$B$15=0),"",IF(N(Z51)&lt;=0.005,"",IF(Start!$D$10="Avalanche",INDEX(Calc!EJ$75:EJ$89,Calc!$F$15),INDEX(Calc!EJ$50:EJ$64,Calc!$D$15))))</f>
        <v/>
      </c>
      <c r="AA52" s="20">
        <f>IF(AB52="","",N(AB51)*(1+Start!$E$24/12)-AB52)</f>
        <v/>
      </c>
      <c r="AB52" s="20">
        <f>IF(OR(OR(Calc!$B$4=0,$B52&gt;IF(Start!$D$10="Avalanche",Calc!$B$3,Calc!$B$2)),Calc!$B$16=0),"",IF(N(AB51)&lt;=0.005,"",IF(Start!$D$10="Avalanche",INDEX(Calc!EJ$75:EJ$89,Calc!$F$16),INDEX(Calc!EJ$50:EJ$64,Calc!$D$16))))</f>
        <v/>
      </c>
      <c r="AC52" s="20">
        <f>IF(AD52="","",N(AD51)*(1+Start!$E$25/12)-AD52)</f>
        <v/>
      </c>
      <c r="AD52" s="20">
        <f>IF(OR(OR(Calc!$B$4=0,$B52&gt;IF(Start!$D$10="Avalanche",Calc!$B$3,Calc!$B$2)),Calc!$B$17=0),"",IF(N(AD51)&lt;=0.005,"",IF(Start!$D$10="Avalanche",INDEX(Calc!EJ$75:EJ$89,Calc!$F$17),INDEX(Calc!EJ$50:EJ$64,Calc!$D$17))))</f>
        <v/>
      </c>
      <c r="AE52" s="20">
        <f>IF(AF52="","",N(AF51)*(1+Start!$E$26/12)-AF52)</f>
        <v/>
      </c>
      <c r="AF52" s="20">
        <f>IF(OR(OR(Calc!$B$4=0,$B52&gt;IF(Start!$D$10="Avalanche",Calc!$B$3,Calc!$B$2)),Calc!$B$18=0),"",IF(N(AF51)&lt;=0.005,"",IF(Start!$D$10="Avalanche",INDEX(Calc!EJ$75:EJ$89,Calc!$F$18),INDEX(Calc!EJ$50:EJ$64,Calc!$D$18))))</f>
        <v/>
      </c>
      <c r="AG52" s="20">
        <f>IF(AH52="","",N(AH51)*(1+Start!$E$27/12)-AH52)</f>
        <v/>
      </c>
      <c r="AH52" s="20">
        <f>IF(OR(OR(Calc!$B$4=0,$B52&gt;IF(Start!$D$10="Avalanche",Calc!$B$3,Calc!$B$2)),Calc!$B$19=0),"",IF(N(AH51)&lt;=0.005,"",IF(Start!$D$10="Avalanche",INDEX(Calc!EJ$75:EJ$89,Calc!$F$19),INDEX(Calc!EJ$50:EJ$64,Calc!$D$19))))</f>
        <v/>
      </c>
      <c r="AI52" s="20">
        <f>IF(AJ52="","",N(AJ51)*(1+Start!$E$28/12)-AJ52)</f>
        <v/>
      </c>
      <c r="AJ52" s="20">
        <f>IF(OR(OR(Calc!$B$4=0,$B52&gt;IF(Start!$D$10="Avalanche",Calc!$B$3,Calc!$B$2)),Calc!$B$20=0),"",IF(N(AJ51)&lt;=0.005,"",IF(Start!$D$10="Avalanche",INDEX(Calc!EJ$75:EJ$89,Calc!$F$20),INDEX(Calc!EJ$50:EJ$64,Calc!$D$20))))</f>
        <v/>
      </c>
    </row>
    <row r="53">
      <c r="B53" s="17" t="n">
        <v>47</v>
      </c>
      <c r="C53" s="19">
        <f>IF(Calc!$B$4=0,"",EDATE(Start!$D$11,46))</f>
        <v/>
      </c>
      <c r="D53" s="20">
        <f>IF(OR(Calc!$B$4=0,$B53&gt;IF(Start!$D$10="Avalanche",Calc!$B$3,Calc!$B$2)),"",SUM(G53,I53,K53,M53,O53,Q53,S53,U53,W53,Y53,AA53,AC53,AE53,AG53,AI53))</f>
        <v/>
      </c>
      <c r="E53" s="20">
        <f>IF(OR(Calc!$B$4=0,$B53&gt;IF(Start!$D$10="Avalanche",Calc!$B$3,Calc!$B$2)),"",IF(Start!$D$10="Avalanche",Calc!EK$72,Calc!EK$47))</f>
        <v/>
      </c>
      <c r="F53" s="21">
        <f>IF(Calc!$B$4=0,"",IF($B53&gt;IF(Start!$D$10="Avalanche",Calc!$B$3,Calc!$B$2),NA(),SUM(H53,J53,L53,N53,P53,R53,T53,V53,X53,Z53,AB53,AD53,AF53,AH53,AJ53)))</f>
        <v/>
      </c>
      <c r="G53" s="20">
        <f>IF(H53="","",N(H52)*(1+Start!$E$14/12)-H53)</f>
        <v/>
      </c>
      <c r="H53" s="20">
        <f>IF(OR(OR(Calc!$B$4=0,$B53&gt;IF(Start!$D$10="Avalanche",Calc!$B$3,Calc!$B$2)),Calc!$B$6=0),"",IF(N(H52)&lt;=0.005,"",IF(Start!$D$10="Avalanche",INDEX(Calc!EM$75:EM$89,Calc!$F$6),INDEX(Calc!EM$50:EM$64,Calc!$D$6))))</f>
        <v/>
      </c>
      <c r="I53" s="20">
        <f>IF(J53="","",N(J52)*(1+Start!$E$15/12)-J53)</f>
        <v/>
      </c>
      <c r="J53" s="20">
        <f>IF(OR(OR(Calc!$B$4=0,$B53&gt;IF(Start!$D$10="Avalanche",Calc!$B$3,Calc!$B$2)),Calc!$B$7=0),"",IF(N(J52)&lt;=0.005,"",IF(Start!$D$10="Avalanche",INDEX(Calc!EM$75:EM$89,Calc!$F$7),INDEX(Calc!EM$50:EM$64,Calc!$D$7))))</f>
        <v/>
      </c>
      <c r="K53" s="20">
        <f>IF(L53="","",N(L52)*(1+Start!$E$16/12)-L53)</f>
        <v/>
      </c>
      <c r="L53" s="20">
        <f>IF(OR(OR(Calc!$B$4=0,$B53&gt;IF(Start!$D$10="Avalanche",Calc!$B$3,Calc!$B$2)),Calc!$B$8=0),"",IF(N(L52)&lt;=0.005,"",IF(Start!$D$10="Avalanche",INDEX(Calc!EM$75:EM$89,Calc!$F$8),INDEX(Calc!EM$50:EM$64,Calc!$D$8))))</f>
        <v/>
      </c>
      <c r="M53" s="20">
        <f>IF(N53="","",N(N52)*(1+Start!$E$17/12)-N53)</f>
        <v/>
      </c>
      <c r="N53" s="20">
        <f>IF(OR(OR(Calc!$B$4=0,$B53&gt;IF(Start!$D$10="Avalanche",Calc!$B$3,Calc!$B$2)),Calc!$B$9=0),"",IF(N(N52)&lt;=0.005,"",IF(Start!$D$10="Avalanche",INDEX(Calc!EM$75:EM$89,Calc!$F$9),INDEX(Calc!EM$50:EM$64,Calc!$D$9))))</f>
        <v/>
      </c>
      <c r="O53" s="20">
        <f>IF(P53="","",N(P52)*(1+Start!$E$18/12)-P53)</f>
        <v/>
      </c>
      <c r="P53" s="20">
        <f>IF(OR(OR(Calc!$B$4=0,$B53&gt;IF(Start!$D$10="Avalanche",Calc!$B$3,Calc!$B$2)),Calc!$B$10=0),"",IF(N(P52)&lt;=0.005,"",IF(Start!$D$10="Avalanche",INDEX(Calc!EM$75:EM$89,Calc!$F$10),INDEX(Calc!EM$50:EM$64,Calc!$D$10))))</f>
        <v/>
      </c>
      <c r="Q53" s="20">
        <f>IF(R53="","",N(R52)*(1+Start!$E$19/12)-R53)</f>
        <v/>
      </c>
      <c r="R53" s="20">
        <f>IF(OR(OR(Calc!$B$4=0,$B53&gt;IF(Start!$D$10="Avalanche",Calc!$B$3,Calc!$B$2)),Calc!$B$11=0),"",IF(N(R52)&lt;=0.005,"",IF(Start!$D$10="Avalanche",INDEX(Calc!EM$75:EM$89,Calc!$F$11),INDEX(Calc!EM$50:EM$64,Calc!$D$11))))</f>
        <v/>
      </c>
      <c r="S53" s="20">
        <f>IF(T53="","",N(T52)*(1+Start!$E$20/12)-T53)</f>
        <v/>
      </c>
      <c r="T53" s="20">
        <f>IF(OR(OR(Calc!$B$4=0,$B53&gt;IF(Start!$D$10="Avalanche",Calc!$B$3,Calc!$B$2)),Calc!$B$12=0),"",IF(N(T52)&lt;=0.005,"",IF(Start!$D$10="Avalanche",INDEX(Calc!EM$75:EM$89,Calc!$F$12),INDEX(Calc!EM$50:EM$64,Calc!$D$12))))</f>
        <v/>
      </c>
      <c r="U53" s="20">
        <f>IF(V53="","",N(V52)*(1+Start!$E$21/12)-V53)</f>
        <v/>
      </c>
      <c r="V53" s="20">
        <f>IF(OR(OR(Calc!$B$4=0,$B53&gt;IF(Start!$D$10="Avalanche",Calc!$B$3,Calc!$B$2)),Calc!$B$13=0),"",IF(N(V52)&lt;=0.005,"",IF(Start!$D$10="Avalanche",INDEX(Calc!EM$75:EM$89,Calc!$F$13),INDEX(Calc!EM$50:EM$64,Calc!$D$13))))</f>
        <v/>
      </c>
      <c r="W53" s="20">
        <f>IF(X53="","",N(X52)*(1+Start!$E$22/12)-X53)</f>
        <v/>
      </c>
      <c r="X53" s="20">
        <f>IF(OR(OR(Calc!$B$4=0,$B53&gt;IF(Start!$D$10="Avalanche",Calc!$B$3,Calc!$B$2)),Calc!$B$14=0),"",IF(N(X52)&lt;=0.005,"",IF(Start!$D$10="Avalanche",INDEX(Calc!EM$75:EM$89,Calc!$F$14),INDEX(Calc!EM$50:EM$64,Calc!$D$14))))</f>
        <v/>
      </c>
      <c r="Y53" s="20">
        <f>IF(Z53="","",N(Z52)*(1+Start!$E$23/12)-Z53)</f>
        <v/>
      </c>
      <c r="Z53" s="20">
        <f>IF(OR(OR(Calc!$B$4=0,$B53&gt;IF(Start!$D$10="Avalanche",Calc!$B$3,Calc!$B$2)),Calc!$B$15=0),"",IF(N(Z52)&lt;=0.005,"",IF(Start!$D$10="Avalanche",INDEX(Calc!EM$75:EM$89,Calc!$F$15),INDEX(Calc!EM$50:EM$64,Calc!$D$15))))</f>
        <v/>
      </c>
      <c r="AA53" s="20">
        <f>IF(AB53="","",N(AB52)*(1+Start!$E$24/12)-AB53)</f>
        <v/>
      </c>
      <c r="AB53" s="20">
        <f>IF(OR(OR(Calc!$B$4=0,$B53&gt;IF(Start!$D$10="Avalanche",Calc!$B$3,Calc!$B$2)),Calc!$B$16=0),"",IF(N(AB52)&lt;=0.005,"",IF(Start!$D$10="Avalanche",INDEX(Calc!EM$75:EM$89,Calc!$F$16),INDEX(Calc!EM$50:EM$64,Calc!$D$16))))</f>
        <v/>
      </c>
      <c r="AC53" s="20">
        <f>IF(AD53="","",N(AD52)*(1+Start!$E$25/12)-AD53)</f>
        <v/>
      </c>
      <c r="AD53" s="20">
        <f>IF(OR(OR(Calc!$B$4=0,$B53&gt;IF(Start!$D$10="Avalanche",Calc!$B$3,Calc!$B$2)),Calc!$B$17=0),"",IF(N(AD52)&lt;=0.005,"",IF(Start!$D$10="Avalanche",INDEX(Calc!EM$75:EM$89,Calc!$F$17),INDEX(Calc!EM$50:EM$64,Calc!$D$17))))</f>
        <v/>
      </c>
      <c r="AE53" s="20">
        <f>IF(AF53="","",N(AF52)*(1+Start!$E$26/12)-AF53)</f>
        <v/>
      </c>
      <c r="AF53" s="20">
        <f>IF(OR(OR(Calc!$B$4=0,$B53&gt;IF(Start!$D$10="Avalanche",Calc!$B$3,Calc!$B$2)),Calc!$B$18=0),"",IF(N(AF52)&lt;=0.005,"",IF(Start!$D$10="Avalanche",INDEX(Calc!EM$75:EM$89,Calc!$F$18),INDEX(Calc!EM$50:EM$64,Calc!$D$18))))</f>
        <v/>
      </c>
      <c r="AG53" s="20">
        <f>IF(AH53="","",N(AH52)*(1+Start!$E$27/12)-AH53)</f>
        <v/>
      </c>
      <c r="AH53" s="20">
        <f>IF(OR(OR(Calc!$B$4=0,$B53&gt;IF(Start!$D$10="Avalanche",Calc!$B$3,Calc!$B$2)),Calc!$B$19=0),"",IF(N(AH52)&lt;=0.005,"",IF(Start!$D$10="Avalanche",INDEX(Calc!EM$75:EM$89,Calc!$F$19),INDEX(Calc!EM$50:EM$64,Calc!$D$19))))</f>
        <v/>
      </c>
      <c r="AI53" s="20">
        <f>IF(AJ53="","",N(AJ52)*(1+Start!$E$28/12)-AJ53)</f>
        <v/>
      </c>
      <c r="AJ53" s="20">
        <f>IF(OR(OR(Calc!$B$4=0,$B53&gt;IF(Start!$D$10="Avalanche",Calc!$B$3,Calc!$B$2)),Calc!$B$20=0),"",IF(N(AJ52)&lt;=0.005,"",IF(Start!$D$10="Avalanche",INDEX(Calc!EM$75:EM$89,Calc!$F$20),INDEX(Calc!EM$50:EM$64,Calc!$D$20))))</f>
        <v/>
      </c>
    </row>
    <row r="54">
      <c r="B54" s="17" t="n">
        <v>48</v>
      </c>
      <c r="C54" s="19">
        <f>IF(Calc!$B$4=0,"",EDATE(Start!$D$11,47))</f>
        <v/>
      </c>
      <c r="D54" s="20">
        <f>IF(OR(Calc!$B$4=0,$B54&gt;IF(Start!$D$10="Avalanche",Calc!$B$3,Calc!$B$2)),"",SUM(G54,I54,K54,M54,O54,Q54,S54,U54,W54,Y54,AA54,AC54,AE54,AG54,AI54))</f>
        <v/>
      </c>
      <c r="E54" s="20">
        <f>IF(OR(Calc!$B$4=0,$B54&gt;IF(Start!$D$10="Avalanche",Calc!$B$3,Calc!$B$2)),"",IF(Start!$D$10="Avalanche",Calc!EN$72,Calc!EN$47))</f>
        <v/>
      </c>
      <c r="F54" s="21">
        <f>IF(Calc!$B$4=0,"",IF($B54&gt;IF(Start!$D$10="Avalanche",Calc!$B$3,Calc!$B$2),NA(),SUM(H54,J54,L54,N54,P54,R54,T54,V54,X54,Z54,AB54,AD54,AF54,AH54,AJ54)))</f>
        <v/>
      </c>
      <c r="G54" s="20">
        <f>IF(H54="","",N(H53)*(1+Start!$E$14/12)-H54)</f>
        <v/>
      </c>
      <c r="H54" s="20">
        <f>IF(OR(OR(Calc!$B$4=0,$B54&gt;IF(Start!$D$10="Avalanche",Calc!$B$3,Calc!$B$2)),Calc!$B$6=0),"",IF(N(H53)&lt;=0.005,"",IF(Start!$D$10="Avalanche",INDEX(Calc!EP$75:EP$89,Calc!$F$6),INDEX(Calc!EP$50:EP$64,Calc!$D$6))))</f>
        <v/>
      </c>
      <c r="I54" s="20">
        <f>IF(J54="","",N(J53)*(1+Start!$E$15/12)-J54)</f>
        <v/>
      </c>
      <c r="J54" s="20">
        <f>IF(OR(OR(Calc!$B$4=0,$B54&gt;IF(Start!$D$10="Avalanche",Calc!$B$3,Calc!$B$2)),Calc!$B$7=0),"",IF(N(J53)&lt;=0.005,"",IF(Start!$D$10="Avalanche",INDEX(Calc!EP$75:EP$89,Calc!$F$7),INDEX(Calc!EP$50:EP$64,Calc!$D$7))))</f>
        <v/>
      </c>
      <c r="K54" s="20">
        <f>IF(L54="","",N(L53)*(1+Start!$E$16/12)-L54)</f>
        <v/>
      </c>
      <c r="L54" s="20">
        <f>IF(OR(OR(Calc!$B$4=0,$B54&gt;IF(Start!$D$10="Avalanche",Calc!$B$3,Calc!$B$2)),Calc!$B$8=0),"",IF(N(L53)&lt;=0.005,"",IF(Start!$D$10="Avalanche",INDEX(Calc!EP$75:EP$89,Calc!$F$8),INDEX(Calc!EP$50:EP$64,Calc!$D$8))))</f>
        <v/>
      </c>
      <c r="M54" s="20">
        <f>IF(N54="","",N(N53)*(1+Start!$E$17/12)-N54)</f>
        <v/>
      </c>
      <c r="N54" s="20">
        <f>IF(OR(OR(Calc!$B$4=0,$B54&gt;IF(Start!$D$10="Avalanche",Calc!$B$3,Calc!$B$2)),Calc!$B$9=0),"",IF(N(N53)&lt;=0.005,"",IF(Start!$D$10="Avalanche",INDEX(Calc!EP$75:EP$89,Calc!$F$9),INDEX(Calc!EP$50:EP$64,Calc!$D$9))))</f>
        <v/>
      </c>
      <c r="O54" s="20">
        <f>IF(P54="","",N(P53)*(1+Start!$E$18/12)-P54)</f>
        <v/>
      </c>
      <c r="P54" s="20">
        <f>IF(OR(OR(Calc!$B$4=0,$B54&gt;IF(Start!$D$10="Avalanche",Calc!$B$3,Calc!$B$2)),Calc!$B$10=0),"",IF(N(P53)&lt;=0.005,"",IF(Start!$D$10="Avalanche",INDEX(Calc!EP$75:EP$89,Calc!$F$10),INDEX(Calc!EP$50:EP$64,Calc!$D$10))))</f>
        <v/>
      </c>
      <c r="Q54" s="20">
        <f>IF(R54="","",N(R53)*(1+Start!$E$19/12)-R54)</f>
        <v/>
      </c>
      <c r="R54" s="20">
        <f>IF(OR(OR(Calc!$B$4=0,$B54&gt;IF(Start!$D$10="Avalanche",Calc!$B$3,Calc!$B$2)),Calc!$B$11=0),"",IF(N(R53)&lt;=0.005,"",IF(Start!$D$10="Avalanche",INDEX(Calc!EP$75:EP$89,Calc!$F$11),INDEX(Calc!EP$50:EP$64,Calc!$D$11))))</f>
        <v/>
      </c>
      <c r="S54" s="20">
        <f>IF(T54="","",N(T53)*(1+Start!$E$20/12)-T54)</f>
        <v/>
      </c>
      <c r="T54" s="20">
        <f>IF(OR(OR(Calc!$B$4=0,$B54&gt;IF(Start!$D$10="Avalanche",Calc!$B$3,Calc!$B$2)),Calc!$B$12=0),"",IF(N(T53)&lt;=0.005,"",IF(Start!$D$10="Avalanche",INDEX(Calc!EP$75:EP$89,Calc!$F$12),INDEX(Calc!EP$50:EP$64,Calc!$D$12))))</f>
        <v/>
      </c>
      <c r="U54" s="20">
        <f>IF(V54="","",N(V53)*(1+Start!$E$21/12)-V54)</f>
        <v/>
      </c>
      <c r="V54" s="20">
        <f>IF(OR(OR(Calc!$B$4=0,$B54&gt;IF(Start!$D$10="Avalanche",Calc!$B$3,Calc!$B$2)),Calc!$B$13=0),"",IF(N(V53)&lt;=0.005,"",IF(Start!$D$10="Avalanche",INDEX(Calc!EP$75:EP$89,Calc!$F$13),INDEX(Calc!EP$50:EP$64,Calc!$D$13))))</f>
        <v/>
      </c>
      <c r="W54" s="20">
        <f>IF(X54="","",N(X53)*(1+Start!$E$22/12)-X54)</f>
        <v/>
      </c>
      <c r="X54" s="20">
        <f>IF(OR(OR(Calc!$B$4=0,$B54&gt;IF(Start!$D$10="Avalanche",Calc!$B$3,Calc!$B$2)),Calc!$B$14=0),"",IF(N(X53)&lt;=0.005,"",IF(Start!$D$10="Avalanche",INDEX(Calc!EP$75:EP$89,Calc!$F$14),INDEX(Calc!EP$50:EP$64,Calc!$D$14))))</f>
        <v/>
      </c>
      <c r="Y54" s="20">
        <f>IF(Z54="","",N(Z53)*(1+Start!$E$23/12)-Z54)</f>
        <v/>
      </c>
      <c r="Z54" s="20">
        <f>IF(OR(OR(Calc!$B$4=0,$B54&gt;IF(Start!$D$10="Avalanche",Calc!$B$3,Calc!$B$2)),Calc!$B$15=0),"",IF(N(Z53)&lt;=0.005,"",IF(Start!$D$10="Avalanche",INDEX(Calc!EP$75:EP$89,Calc!$F$15),INDEX(Calc!EP$50:EP$64,Calc!$D$15))))</f>
        <v/>
      </c>
      <c r="AA54" s="20">
        <f>IF(AB54="","",N(AB53)*(1+Start!$E$24/12)-AB54)</f>
        <v/>
      </c>
      <c r="AB54" s="20">
        <f>IF(OR(OR(Calc!$B$4=0,$B54&gt;IF(Start!$D$10="Avalanche",Calc!$B$3,Calc!$B$2)),Calc!$B$16=0),"",IF(N(AB53)&lt;=0.005,"",IF(Start!$D$10="Avalanche",INDEX(Calc!EP$75:EP$89,Calc!$F$16),INDEX(Calc!EP$50:EP$64,Calc!$D$16))))</f>
        <v/>
      </c>
      <c r="AC54" s="20">
        <f>IF(AD54="","",N(AD53)*(1+Start!$E$25/12)-AD54)</f>
        <v/>
      </c>
      <c r="AD54" s="20">
        <f>IF(OR(OR(Calc!$B$4=0,$B54&gt;IF(Start!$D$10="Avalanche",Calc!$B$3,Calc!$B$2)),Calc!$B$17=0),"",IF(N(AD53)&lt;=0.005,"",IF(Start!$D$10="Avalanche",INDEX(Calc!EP$75:EP$89,Calc!$F$17),INDEX(Calc!EP$50:EP$64,Calc!$D$17))))</f>
        <v/>
      </c>
      <c r="AE54" s="20">
        <f>IF(AF54="","",N(AF53)*(1+Start!$E$26/12)-AF54)</f>
        <v/>
      </c>
      <c r="AF54" s="20">
        <f>IF(OR(OR(Calc!$B$4=0,$B54&gt;IF(Start!$D$10="Avalanche",Calc!$B$3,Calc!$B$2)),Calc!$B$18=0),"",IF(N(AF53)&lt;=0.005,"",IF(Start!$D$10="Avalanche",INDEX(Calc!EP$75:EP$89,Calc!$F$18),INDEX(Calc!EP$50:EP$64,Calc!$D$18))))</f>
        <v/>
      </c>
      <c r="AG54" s="20">
        <f>IF(AH54="","",N(AH53)*(1+Start!$E$27/12)-AH54)</f>
        <v/>
      </c>
      <c r="AH54" s="20">
        <f>IF(OR(OR(Calc!$B$4=0,$B54&gt;IF(Start!$D$10="Avalanche",Calc!$B$3,Calc!$B$2)),Calc!$B$19=0),"",IF(N(AH53)&lt;=0.005,"",IF(Start!$D$10="Avalanche",INDEX(Calc!EP$75:EP$89,Calc!$F$19),INDEX(Calc!EP$50:EP$64,Calc!$D$19))))</f>
        <v/>
      </c>
      <c r="AI54" s="20">
        <f>IF(AJ54="","",N(AJ53)*(1+Start!$E$28/12)-AJ54)</f>
        <v/>
      </c>
      <c r="AJ54" s="20">
        <f>IF(OR(OR(Calc!$B$4=0,$B54&gt;IF(Start!$D$10="Avalanche",Calc!$B$3,Calc!$B$2)),Calc!$B$20=0),"",IF(N(AJ53)&lt;=0.005,"",IF(Start!$D$10="Avalanche",INDEX(Calc!EP$75:EP$89,Calc!$F$20),INDEX(Calc!EP$50:EP$64,Calc!$D$20))))</f>
        <v/>
      </c>
    </row>
    <row r="55">
      <c r="B55" s="17" t="n">
        <v>49</v>
      </c>
      <c r="C55" s="19">
        <f>IF(Calc!$B$4=0,"",EDATE(Start!$D$11,48))</f>
        <v/>
      </c>
      <c r="D55" s="20">
        <f>IF(OR(Calc!$B$4=0,$B55&gt;IF(Start!$D$10="Avalanche",Calc!$B$3,Calc!$B$2)),"",SUM(G55,I55,K55,M55,O55,Q55,S55,U55,W55,Y55,AA55,AC55,AE55,AG55,AI55))</f>
        <v/>
      </c>
      <c r="E55" s="20">
        <f>IF(OR(Calc!$B$4=0,$B55&gt;IF(Start!$D$10="Avalanche",Calc!$B$3,Calc!$B$2)),"",IF(Start!$D$10="Avalanche",Calc!EQ$72,Calc!EQ$47))</f>
        <v/>
      </c>
      <c r="F55" s="21">
        <f>IF(Calc!$B$4=0,"",IF($B55&gt;IF(Start!$D$10="Avalanche",Calc!$B$3,Calc!$B$2),NA(),SUM(H55,J55,L55,N55,P55,R55,T55,V55,X55,Z55,AB55,AD55,AF55,AH55,AJ55)))</f>
        <v/>
      </c>
      <c r="G55" s="20">
        <f>IF(H55="","",N(H54)*(1+Start!$E$14/12)-H55)</f>
        <v/>
      </c>
      <c r="H55" s="20">
        <f>IF(OR(OR(Calc!$B$4=0,$B55&gt;IF(Start!$D$10="Avalanche",Calc!$B$3,Calc!$B$2)),Calc!$B$6=0),"",IF(N(H54)&lt;=0.005,"",IF(Start!$D$10="Avalanche",INDEX(Calc!ES$75:ES$89,Calc!$F$6),INDEX(Calc!ES$50:ES$64,Calc!$D$6))))</f>
        <v/>
      </c>
      <c r="I55" s="20">
        <f>IF(J55="","",N(J54)*(1+Start!$E$15/12)-J55)</f>
        <v/>
      </c>
      <c r="J55" s="20">
        <f>IF(OR(OR(Calc!$B$4=0,$B55&gt;IF(Start!$D$10="Avalanche",Calc!$B$3,Calc!$B$2)),Calc!$B$7=0),"",IF(N(J54)&lt;=0.005,"",IF(Start!$D$10="Avalanche",INDEX(Calc!ES$75:ES$89,Calc!$F$7),INDEX(Calc!ES$50:ES$64,Calc!$D$7))))</f>
        <v/>
      </c>
      <c r="K55" s="20">
        <f>IF(L55="","",N(L54)*(1+Start!$E$16/12)-L55)</f>
        <v/>
      </c>
      <c r="L55" s="20">
        <f>IF(OR(OR(Calc!$B$4=0,$B55&gt;IF(Start!$D$10="Avalanche",Calc!$B$3,Calc!$B$2)),Calc!$B$8=0),"",IF(N(L54)&lt;=0.005,"",IF(Start!$D$10="Avalanche",INDEX(Calc!ES$75:ES$89,Calc!$F$8),INDEX(Calc!ES$50:ES$64,Calc!$D$8))))</f>
        <v/>
      </c>
      <c r="M55" s="20">
        <f>IF(N55="","",N(N54)*(1+Start!$E$17/12)-N55)</f>
        <v/>
      </c>
      <c r="N55" s="20">
        <f>IF(OR(OR(Calc!$B$4=0,$B55&gt;IF(Start!$D$10="Avalanche",Calc!$B$3,Calc!$B$2)),Calc!$B$9=0),"",IF(N(N54)&lt;=0.005,"",IF(Start!$D$10="Avalanche",INDEX(Calc!ES$75:ES$89,Calc!$F$9),INDEX(Calc!ES$50:ES$64,Calc!$D$9))))</f>
        <v/>
      </c>
      <c r="O55" s="20">
        <f>IF(P55="","",N(P54)*(1+Start!$E$18/12)-P55)</f>
        <v/>
      </c>
      <c r="P55" s="20">
        <f>IF(OR(OR(Calc!$B$4=0,$B55&gt;IF(Start!$D$10="Avalanche",Calc!$B$3,Calc!$B$2)),Calc!$B$10=0),"",IF(N(P54)&lt;=0.005,"",IF(Start!$D$10="Avalanche",INDEX(Calc!ES$75:ES$89,Calc!$F$10),INDEX(Calc!ES$50:ES$64,Calc!$D$10))))</f>
        <v/>
      </c>
      <c r="Q55" s="20">
        <f>IF(R55="","",N(R54)*(1+Start!$E$19/12)-R55)</f>
        <v/>
      </c>
      <c r="R55" s="20">
        <f>IF(OR(OR(Calc!$B$4=0,$B55&gt;IF(Start!$D$10="Avalanche",Calc!$B$3,Calc!$B$2)),Calc!$B$11=0),"",IF(N(R54)&lt;=0.005,"",IF(Start!$D$10="Avalanche",INDEX(Calc!ES$75:ES$89,Calc!$F$11),INDEX(Calc!ES$50:ES$64,Calc!$D$11))))</f>
        <v/>
      </c>
      <c r="S55" s="20">
        <f>IF(T55="","",N(T54)*(1+Start!$E$20/12)-T55)</f>
        <v/>
      </c>
      <c r="T55" s="20">
        <f>IF(OR(OR(Calc!$B$4=0,$B55&gt;IF(Start!$D$10="Avalanche",Calc!$B$3,Calc!$B$2)),Calc!$B$12=0),"",IF(N(T54)&lt;=0.005,"",IF(Start!$D$10="Avalanche",INDEX(Calc!ES$75:ES$89,Calc!$F$12),INDEX(Calc!ES$50:ES$64,Calc!$D$12))))</f>
        <v/>
      </c>
      <c r="U55" s="20">
        <f>IF(V55="","",N(V54)*(1+Start!$E$21/12)-V55)</f>
        <v/>
      </c>
      <c r="V55" s="20">
        <f>IF(OR(OR(Calc!$B$4=0,$B55&gt;IF(Start!$D$10="Avalanche",Calc!$B$3,Calc!$B$2)),Calc!$B$13=0),"",IF(N(V54)&lt;=0.005,"",IF(Start!$D$10="Avalanche",INDEX(Calc!ES$75:ES$89,Calc!$F$13),INDEX(Calc!ES$50:ES$64,Calc!$D$13))))</f>
        <v/>
      </c>
      <c r="W55" s="20">
        <f>IF(X55="","",N(X54)*(1+Start!$E$22/12)-X55)</f>
        <v/>
      </c>
      <c r="X55" s="20">
        <f>IF(OR(OR(Calc!$B$4=0,$B55&gt;IF(Start!$D$10="Avalanche",Calc!$B$3,Calc!$B$2)),Calc!$B$14=0),"",IF(N(X54)&lt;=0.005,"",IF(Start!$D$10="Avalanche",INDEX(Calc!ES$75:ES$89,Calc!$F$14),INDEX(Calc!ES$50:ES$64,Calc!$D$14))))</f>
        <v/>
      </c>
      <c r="Y55" s="20">
        <f>IF(Z55="","",N(Z54)*(1+Start!$E$23/12)-Z55)</f>
        <v/>
      </c>
      <c r="Z55" s="20">
        <f>IF(OR(OR(Calc!$B$4=0,$B55&gt;IF(Start!$D$10="Avalanche",Calc!$B$3,Calc!$B$2)),Calc!$B$15=0),"",IF(N(Z54)&lt;=0.005,"",IF(Start!$D$10="Avalanche",INDEX(Calc!ES$75:ES$89,Calc!$F$15),INDEX(Calc!ES$50:ES$64,Calc!$D$15))))</f>
        <v/>
      </c>
      <c r="AA55" s="20">
        <f>IF(AB55="","",N(AB54)*(1+Start!$E$24/12)-AB55)</f>
        <v/>
      </c>
      <c r="AB55" s="20">
        <f>IF(OR(OR(Calc!$B$4=0,$B55&gt;IF(Start!$D$10="Avalanche",Calc!$B$3,Calc!$B$2)),Calc!$B$16=0),"",IF(N(AB54)&lt;=0.005,"",IF(Start!$D$10="Avalanche",INDEX(Calc!ES$75:ES$89,Calc!$F$16),INDEX(Calc!ES$50:ES$64,Calc!$D$16))))</f>
        <v/>
      </c>
      <c r="AC55" s="20">
        <f>IF(AD55="","",N(AD54)*(1+Start!$E$25/12)-AD55)</f>
        <v/>
      </c>
      <c r="AD55" s="20">
        <f>IF(OR(OR(Calc!$B$4=0,$B55&gt;IF(Start!$D$10="Avalanche",Calc!$B$3,Calc!$B$2)),Calc!$B$17=0),"",IF(N(AD54)&lt;=0.005,"",IF(Start!$D$10="Avalanche",INDEX(Calc!ES$75:ES$89,Calc!$F$17),INDEX(Calc!ES$50:ES$64,Calc!$D$17))))</f>
        <v/>
      </c>
      <c r="AE55" s="20">
        <f>IF(AF55="","",N(AF54)*(1+Start!$E$26/12)-AF55)</f>
        <v/>
      </c>
      <c r="AF55" s="20">
        <f>IF(OR(OR(Calc!$B$4=0,$B55&gt;IF(Start!$D$10="Avalanche",Calc!$B$3,Calc!$B$2)),Calc!$B$18=0),"",IF(N(AF54)&lt;=0.005,"",IF(Start!$D$10="Avalanche",INDEX(Calc!ES$75:ES$89,Calc!$F$18),INDEX(Calc!ES$50:ES$64,Calc!$D$18))))</f>
        <v/>
      </c>
      <c r="AG55" s="20">
        <f>IF(AH55="","",N(AH54)*(1+Start!$E$27/12)-AH55)</f>
        <v/>
      </c>
      <c r="AH55" s="20">
        <f>IF(OR(OR(Calc!$B$4=0,$B55&gt;IF(Start!$D$10="Avalanche",Calc!$B$3,Calc!$B$2)),Calc!$B$19=0),"",IF(N(AH54)&lt;=0.005,"",IF(Start!$D$10="Avalanche",INDEX(Calc!ES$75:ES$89,Calc!$F$19),INDEX(Calc!ES$50:ES$64,Calc!$D$19))))</f>
        <v/>
      </c>
      <c r="AI55" s="20">
        <f>IF(AJ55="","",N(AJ54)*(1+Start!$E$28/12)-AJ55)</f>
        <v/>
      </c>
      <c r="AJ55" s="20">
        <f>IF(OR(OR(Calc!$B$4=0,$B55&gt;IF(Start!$D$10="Avalanche",Calc!$B$3,Calc!$B$2)),Calc!$B$20=0),"",IF(N(AJ54)&lt;=0.005,"",IF(Start!$D$10="Avalanche",INDEX(Calc!ES$75:ES$89,Calc!$F$20),INDEX(Calc!ES$50:ES$64,Calc!$D$20))))</f>
        <v/>
      </c>
    </row>
    <row r="56">
      <c r="B56" s="17" t="n">
        <v>50</v>
      </c>
      <c r="C56" s="19">
        <f>IF(Calc!$B$4=0,"",EDATE(Start!$D$11,49))</f>
        <v/>
      </c>
      <c r="D56" s="20">
        <f>IF(OR(Calc!$B$4=0,$B56&gt;IF(Start!$D$10="Avalanche",Calc!$B$3,Calc!$B$2)),"",SUM(G56,I56,K56,M56,O56,Q56,S56,U56,W56,Y56,AA56,AC56,AE56,AG56,AI56))</f>
        <v/>
      </c>
      <c r="E56" s="20">
        <f>IF(OR(Calc!$B$4=0,$B56&gt;IF(Start!$D$10="Avalanche",Calc!$B$3,Calc!$B$2)),"",IF(Start!$D$10="Avalanche",Calc!ET$72,Calc!ET$47))</f>
        <v/>
      </c>
      <c r="F56" s="21">
        <f>IF(Calc!$B$4=0,"",IF($B56&gt;IF(Start!$D$10="Avalanche",Calc!$B$3,Calc!$B$2),NA(),SUM(H56,J56,L56,N56,P56,R56,T56,V56,X56,Z56,AB56,AD56,AF56,AH56,AJ56)))</f>
        <v/>
      </c>
      <c r="G56" s="20">
        <f>IF(H56="","",N(H55)*(1+Start!$E$14/12)-H56)</f>
        <v/>
      </c>
      <c r="H56" s="20">
        <f>IF(OR(OR(Calc!$B$4=0,$B56&gt;IF(Start!$D$10="Avalanche",Calc!$B$3,Calc!$B$2)),Calc!$B$6=0),"",IF(N(H55)&lt;=0.005,"",IF(Start!$D$10="Avalanche",INDEX(Calc!EV$75:EV$89,Calc!$F$6),INDEX(Calc!EV$50:EV$64,Calc!$D$6))))</f>
        <v/>
      </c>
      <c r="I56" s="20">
        <f>IF(J56="","",N(J55)*(1+Start!$E$15/12)-J56)</f>
        <v/>
      </c>
      <c r="J56" s="20">
        <f>IF(OR(OR(Calc!$B$4=0,$B56&gt;IF(Start!$D$10="Avalanche",Calc!$B$3,Calc!$B$2)),Calc!$B$7=0),"",IF(N(J55)&lt;=0.005,"",IF(Start!$D$10="Avalanche",INDEX(Calc!EV$75:EV$89,Calc!$F$7),INDEX(Calc!EV$50:EV$64,Calc!$D$7))))</f>
        <v/>
      </c>
      <c r="K56" s="20">
        <f>IF(L56="","",N(L55)*(1+Start!$E$16/12)-L56)</f>
        <v/>
      </c>
      <c r="L56" s="20">
        <f>IF(OR(OR(Calc!$B$4=0,$B56&gt;IF(Start!$D$10="Avalanche",Calc!$B$3,Calc!$B$2)),Calc!$B$8=0),"",IF(N(L55)&lt;=0.005,"",IF(Start!$D$10="Avalanche",INDEX(Calc!EV$75:EV$89,Calc!$F$8),INDEX(Calc!EV$50:EV$64,Calc!$D$8))))</f>
        <v/>
      </c>
      <c r="M56" s="20">
        <f>IF(N56="","",N(N55)*(1+Start!$E$17/12)-N56)</f>
        <v/>
      </c>
      <c r="N56" s="20">
        <f>IF(OR(OR(Calc!$B$4=0,$B56&gt;IF(Start!$D$10="Avalanche",Calc!$B$3,Calc!$B$2)),Calc!$B$9=0),"",IF(N(N55)&lt;=0.005,"",IF(Start!$D$10="Avalanche",INDEX(Calc!EV$75:EV$89,Calc!$F$9),INDEX(Calc!EV$50:EV$64,Calc!$D$9))))</f>
        <v/>
      </c>
      <c r="O56" s="20">
        <f>IF(P56="","",N(P55)*(1+Start!$E$18/12)-P56)</f>
        <v/>
      </c>
      <c r="P56" s="20">
        <f>IF(OR(OR(Calc!$B$4=0,$B56&gt;IF(Start!$D$10="Avalanche",Calc!$B$3,Calc!$B$2)),Calc!$B$10=0),"",IF(N(P55)&lt;=0.005,"",IF(Start!$D$10="Avalanche",INDEX(Calc!EV$75:EV$89,Calc!$F$10),INDEX(Calc!EV$50:EV$64,Calc!$D$10))))</f>
        <v/>
      </c>
      <c r="Q56" s="20">
        <f>IF(R56="","",N(R55)*(1+Start!$E$19/12)-R56)</f>
        <v/>
      </c>
      <c r="R56" s="20">
        <f>IF(OR(OR(Calc!$B$4=0,$B56&gt;IF(Start!$D$10="Avalanche",Calc!$B$3,Calc!$B$2)),Calc!$B$11=0),"",IF(N(R55)&lt;=0.005,"",IF(Start!$D$10="Avalanche",INDEX(Calc!EV$75:EV$89,Calc!$F$11),INDEX(Calc!EV$50:EV$64,Calc!$D$11))))</f>
        <v/>
      </c>
      <c r="S56" s="20">
        <f>IF(T56="","",N(T55)*(1+Start!$E$20/12)-T56)</f>
        <v/>
      </c>
      <c r="T56" s="20">
        <f>IF(OR(OR(Calc!$B$4=0,$B56&gt;IF(Start!$D$10="Avalanche",Calc!$B$3,Calc!$B$2)),Calc!$B$12=0),"",IF(N(T55)&lt;=0.005,"",IF(Start!$D$10="Avalanche",INDEX(Calc!EV$75:EV$89,Calc!$F$12),INDEX(Calc!EV$50:EV$64,Calc!$D$12))))</f>
        <v/>
      </c>
      <c r="U56" s="20">
        <f>IF(V56="","",N(V55)*(1+Start!$E$21/12)-V56)</f>
        <v/>
      </c>
      <c r="V56" s="20">
        <f>IF(OR(OR(Calc!$B$4=0,$B56&gt;IF(Start!$D$10="Avalanche",Calc!$B$3,Calc!$B$2)),Calc!$B$13=0),"",IF(N(V55)&lt;=0.005,"",IF(Start!$D$10="Avalanche",INDEX(Calc!EV$75:EV$89,Calc!$F$13),INDEX(Calc!EV$50:EV$64,Calc!$D$13))))</f>
        <v/>
      </c>
      <c r="W56" s="20">
        <f>IF(X56="","",N(X55)*(1+Start!$E$22/12)-X56)</f>
        <v/>
      </c>
      <c r="X56" s="20">
        <f>IF(OR(OR(Calc!$B$4=0,$B56&gt;IF(Start!$D$10="Avalanche",Calc!$B$3,Calc!$B$2)),Calc!$B$14=0),"",IF(N(X55)&lt;=0.005,"",IF(Start!$D$10="Avalanche",INDEX(Calc!EV$75:EV$89,Calc!$F$14),INDEX(Calc!EV$50:EV$64,Calc!$D$14))))</f>
        <v/>
      </c>
      <c r="Y56" s="20">
        <f>IF(Z56="","",N(Z55)*(1+Start!$E$23/12)-Z56)</f>
        <v/>
      </c>
      <c r="Z56" s="20">
        <f>IF(OR(OR(Calc!$B$4=0,$B56&gt;IF(Start!$D$10="Avalanche",Calc!$B$3,Calc!$B$2)),Calc!$B$15=0),"",IF(N(Z55)&lt;=0.005,"",IF(Start!$D$10="Avalanche",INDEX(Calc!EV$75:EV$89,Calc!$F$15),INDEX(Calc!EV$50:EV$64,Calc!$D$15))))</f>
        <v/>
      </c>
      <c r="AA56" s="20">
        <f>IF(AB56="","",N(AB55)*(1+Start!$E$24/12)-AB56)</f>
        <v/>
      </c>
      <c r="AB56" s="20">
        <f>IF(OR(OR(Calc!$B$4=0,$B56&gt;IF(Start!$D$10="Avalanche",Calc!$B$3,Calc!$B$2)),Calc!$B$16=0),"",IF(N(AB55)&lt;=0.005,"",IF(Start!$D$10="Avalanche",INDEX(Calc!EV$75:EV$89,Calc!$F$16),INDEX(Calc!EV$50:EV$64,Calc!$D$16))))</f>
        <v/>
      </c>
      <c r="AC56" s="20">
        <f>IF(AD56="","",N(AD55)*(1+Start!$E$25/12)-AD56)</f>
        <v/>
      </c>
      <c r="AD56" s="20">
        <f>IF(OR(OR(Calc!$B$4=0,$B56&gt;IF(Start!$D$10="Avalanche",Calc!$B$3,Calc!$B$2)),Calc!$B$17=0),"",IF(N(AD55)&lt;=0.005,"",IF(Start!$D$10="Avalanche",INDEX(Calc!EV$75:EV$89,Calc!$F$17),INDEX(Calc!EV$50:EV$64,Calc!$D$17))))</f>
        <v/>
      </c>
      <c r="AE56" s="20">
        <f>IF(AF56="","",N(AF55)*(1+Start!$E$26/12)-AF56)</f>
        <v/>
      </c>
      <c r="AF56" s="20">
        <f>IF(OR(OR(Calc!$B$4=0,$B56&gt;IF(Start!$D$10="Avalanche",Calc!$B$3,Calc!$B$2)),Calc!$B$18=0),"",IF(N(AF55)&lt;=0.005,"",IF(Start!$D$10="Avalanche",INDEX(Calc!EV$75:EV$89,Calc!$F$18),INDEX(Calc!EV$50:EV$64,Calc!$D$18))))</f>
        <v/>
      </c>
      <c r="AG56" s="20">
        <f>IF(AH56="","",N(AH55)*(1+Start!$E$27/12)-AH56)</f>
        <v/>
      </c>
      <c r="AH56" s="20">
        <f>IF(OR(OR(Calc!$B$4=0,$B56&gt;IF(Start!$D$10="Avalanche",Calc!$B$3,Calc!$B$2)),Calc!$B$19=0),"",IF(N(AH55)&lt;=0.005,"",IF(Start!$D$10="Avalanche",INDEX(Calc!EV$75:EV$89,Calc!$F$19),INDEX(Calc!EV$50:EV$64,Calc!$D$19))))</f>
        <v/>
      </c>
      <c r="AI56" s="20">
        <f>IF(AJ56="","",N(AJ55)*(1+Start!$E$28/12)-AJ56)</f>
        <v/>
      </c>
      <c r="AJ56" s="20">
        <f>IF(OR(OR(Calc!$B$4=0,$B56&gt;IF(Start!$D$10="Avalanche",Calc!$B$3,Calc!$B$2)),Calc!$B$20=0),"",IF(N(AJ55)&lt;=0.005,"",IF(Start!$D$10="Avalanche",INDEX(Calc!EV$75:EV$89,Calc!$F$20),INDEX(Calc!EV$50:EV$64,Calc!$D$20))))</f>
        <v/>
      </c>
    </row>
    <row r="57">
      <c r="B57" s="17" t="n">
        <v>51</v>
      </c>
      <c r="C57" s="19">
        <f>IF(Calc!$B$4=0,"",EDATE(Start!$D$11,50))</f>
        <v/>
      </c>
      <c r="D57" s="20">
        <f>IF(OR(Calc!$B$4=0,$B57&gt;IF(Start!$D$10="Avalanche",Calc!$B$3,Calc!$B$2)),"",SUM(G57,I57,K57,M57,O57,Q57,S57,U57,W57,Y57,AA57,AC57,AE57,AG57,AI57))</f>
        <v/>
      </c>
      <c r="E57" s="20">
        <f>IF(OR(Calc!$B$4=0,$B57&gt;IF(Start!$D$10="Avalanche",Calc!$B$3,Calc!$B$2)),"",IF(Start!$D$10="Avalanche",Calc!EW$72,Calc!EW$47))</f>
        <v/>
      </c>
      <c r="F57" s="21">
        <f>IF(Calc!$B$4=0,"",IF($B57&gt;IF(Start!$D$10="Avalanche",Calc!$B$3,Calc!$B$2),NA(),SUM(H57,J57,L57,N57,P57,R57,T57,V57,X57,Z57,AB57,AD57,AF57,AH57,AJ57)))</f>
        <v/>
      </c>
      <c r="G57" s="20">
        <f>IF(H57="","",N(H56)*(1+Start!$E$14/12)-H57)</f>
        <v/>
      </c>
      <c r="H57" s="20">
        <f>IF(OR(OR(Calc!$B$4=0,$B57&gt;IF(Start!$D$10="Avalanche",Calc!$B$3,Calc!$B$2)),Calc!$B$6=0),"",IF(N(H56)&lt;=0.005,"",IF(Start!$D$10="Avalanche",INDEX(Calc!EY$75:EY$89,Calc!$F$6),INDEX(Calc!EY$50:EY$64,Calc!$D$6))))</f>
        <v/>
      </c>
      <c r="I57" s="20">
        <f>IF(J57="","",N(J56)*(1+Start!$E$15/12)-J57)</f>
        <v/>
      </c>
      <c r="J57" s="20">
        <f>IF(OR(OR(Calc!$B$4=0,$B57&gt;IF(Start!$D$10="Avalanche",Calc!$B$3,Calc!$B$2)),Calc!$B$7=0),"",IF(N(J56)&lt;=0.005,"",IF(Start!$D$10="Avalanche",INDEX(Calc!EY$75:EY$89,Calc!$F$7),INDEX(Calc!EY$50:EY$64,Calc!$D$7))))</f>
        <v/>
      </c>
      <c r="K57" s="20">
        <f>IF(L57="","",N(L56)*(1+Start!$E$16/12)-L57)</f>
        <v/>
      </c>
      <c r="L57" s="20">
        <f>IF(OR(OR(Calc!$B$4=0,$B57&gt;IF(Start!$D$10="Avalanche",Calc!$B$3,Calc!$B$2)),Calc!$B$8=0),"",IF(N(L56)&lt;=0.005,"",IF(Start!$D$10="Avalanche",INDEX(Calc!EY$75:EY$89,Calc!$F$8),INDEX(Calc!EY$50:EY$64,Calc!$D$8))))</f>
        <v/>
      </c>
      <c r="M57" s="20">
        <f>IF(N57="","",N(N56)*(1+Start!$E$17/12)-N57)</f>
        <v/>
      </c>
      <c r="N57" s="20">
        <f>IF(OR(OR(Calc!$B$4=0,$B57&gt;IF(Start!$D$10="Avalanche",Calc!$B$3,Calc!$B$2)),Calc!$B$9=0),"",IF(N(N56)&lt;=0.005,"",IF(Start!$D$10="Avalanche",INDEX(Calc!EY$75:EY$89,Calc!$F$9),INDEX(Calc!EY$50:EY$64,Calc!$D$9))))</f>
        <v/>
      </c>
      <c r="O57" s="20">
        <f>IF(P57="","",N(P56)*(1+Start!$E$18/12)-P57)</f>
        <v/>
      </c>
      <c r="P57" s="20">
        <f>IF(OR(OR(Calc!$B$4=0,$B57&gt;IF(Start!$D$10="Avalanche",Calc!$B$3,Calc!$B$2)),Calc!$B$10=0),"",IF(N(P56)&lt;=0.005,"",IF(Start!$D$10="Avalanche",INDEX(Calc!EY$75:EY$89,Calc!$F$10),INDEX(Calc!EY$50:EY$64,Calc!$D$10))))</f>
        <v/>
      </c>
      <c r="Q57" s="20">
        <f>IF(R57="","",N(R56)*(1+Start!$E$19/12)-R57)</f>
        <v/>
      </c>
      <c r="R57" s="20">
        <f>IF(OR(OR(Calc!$B$4=0,$B57&gt;IF(Start!$D$10="Avalanche",Calc!$B$3,Calc!$B$2)),Calc!$B$11=0),"",IF(N(R56)&lt;=0.005,"",IF(Start!$D$10="Avalanche",INDEX(Calc!EY$75:EY$89,Calc!$F$11),INDEX(Calc!EY$50:EY$64,Calc!$D$11))))</f>
        <v/>
      </c>
      <c r="S57" s="20">
        <f>IF(T57="","",N(T56)*(1+Start!$E$20/12)-T57)</f>
        <v/>
      </c>
      <c r="T57" s="20">
        <f>IF(OR(OR(Calc!$B$4=0,$B57&gt;IF(Start!$D$10="Avalanche",Calc!$B$3,Calc!$B$2)),Calc!$B$12=0),"",IF(N(T56)&lt;=0.005,"",IF(Start!$D$10="Avalanche",INDEX(Calc!EY$75:EY$89,Calc!$F$12),INDEX(Calc!EY$50:EY$64,Calc!$D$12))))</f>
        <v/>
      </c>
      <c r="U57" s="20">
        <f>IF(V57="","",N(V56)*(1+Start!$E$21/12)-V57)</f>
        <v/>
      </c>
      <c r="V57" s="20">
        <f>IF(OR(OR(Calc!$B$4=0,$B57&gt;IF(Start!$D$10="Avalanche",Calc!$B$3,Calc!$B$2)),Calc!$B$13=0),"",IF(N(V56)&lt;=0.005,"",IF(Start!$D$10="Avalanche",INDEX(Calc!EY$75:EY$89,Calc!$F$13),INDEX(Calc!EY$50:EY$64,Calc!$D$13))))</f>
        <v/>
      </c>
      <c r="W57" s="20">
        <f>IF(X57="","",N(X56)*(1+Start!$E$22/12)-X57)</f>
        <v/>
      </c>
      <c r="X57" s="20">
        <f>IF(OR(OR(Calc!$B$4=0,$B57&gt;IF(Start!$D$10="Avalanche",Calc!$B$3,Calc!$B$2)),Calc!$B$14=0),"",IF(N(X56)&lt;=0.005,"",IF(Start!$D$10="Avalanche",INDEX(Calc!EY$75:EY$89,Calc!$F$14),INDEX(Calc!EY$50:EY$64,Calc!$D$14))))</f>
        <v/>
      </c>
      <c r="Y57" s="20">
        <f>IF(Z57="","",N(Z56)*(1+Start!$E$23/12)-Z57)</f>
        <v/>
      </c>
      <c r="Z57" s="20">
        <f>IF(OR(OR(Calc!$B$4=0,$B57&gt;IF(Start!$D$10="Avalanche",Calc!$B$3,Calc!$B$2)),Calc!$B$15=0),"",IF(N(Z56)&lt;=0.005,"",IF(Start!$D$10="Avalanche",INDEX(Calc!EY$75:EY$89,Calc!$F$15),INDEX(Calc!EY$50:EY$64,Calc!$D$15))))</f>
        <v/>
      </c>
      <c r="AA57" s="20">
        <f>IF(AB57="","",N(AB56)*(1+Start!$E$24/12)-AB57)</f>
        <v/>
      </c>
      <c r="AB57" s="20">
        <f>IF(OR(OR(Calc!$B$4=0,$B57&gt;IF(Start!$D$10="Avalanche",Calc!$B$3,Calc!$B$2)),Calc!$B$16=0),"",IF(N(AB56)&lt;=0.005,"",IF(Start!$D$10="Avalanche",INDEX(Calc!EY$75:EY$89,Calc!$F$16),INDEX(Calc!EY$50:EY$64,Calc!$D$16))))</f>
        <v/>
      </c>
      <c r="AC57" s="20">
        <f>IF(AD57="","",N(AD56)*(1+Start!$E$25/12)-AD57)</f>
        <v/>
      </c>
      <c r="AD57" s="20">
        <f>IF(OR(OR(Calc!$B$4=0,$B57&gt;IF(Start!$D$10="Avalanche",Calc!$B$3,Calc!$B$2)),Calc!$B$17=0),"",IF(N(AD56)&lt;=0.005,"",IF(Start!$D$10="Avalanche",INDEX(Calc!EY$75:EY$89,Calc!$F$17),INDEX(Calc!EY$50:EY$64,Calc!$D$17))))</f>
        <v/>
      </c>
      <c r="AE57" s="20">
        <f>IF(AF57="","",N(AF56)*(1+Start!$E$26/12)-AF57)</f>
        <v/>
      </c>
      <c r="AF57" s="20">
        <f>IF(OR(OR(Calc!$B$4=0,$B57&gt;IF(Start!$D$10="Avalanche",Calc!$B$3,Calc!$B$2)),Calc!$B$18=0),"",IF(N(AF56)&lt;=0.005,"",IF(Start!$D$10="Avalanche",INDEX(Calc!EY$75:EY$89,Calc!$F$18),INDEX(Calc!EY$50:EY$64,Calc!$D$18))))</f>
        <v/>
      </c>
      <c r="AG57" s="20">
        <f>IF(AH57="","",N(AH56)*(1+Start!$E$27/12)-AH57)</f>
        <v/>
      </c>
      <c r="AH57" s="20">
        <f>IF(OR(OR(Calc!$B$4=0,$B57&gt;IF(Start!$D$10="Avalanche",Calc!$B$3,Calc!$B$2)),Calc!$B$19=0),"",IF(N(AH56)&lt;=0.005,"",IF(Start!$D$10="Avalanche",INDEX(Calc!EY$75:EY$89,Calc!$F$19),INDEX(Calc!EY$50:EY$64,Calc!$D$19))))</f>
        <v/>
      </c>
      <c r="AI57" s="20">
        <f>IF(AJ57="","",N(AJ56)*(1+Start!$E$28/12)-AJ57)</f>
        <v/>
      </c>
      <c r="AJ57" s="20">
        <f>IF(OR(OR(Calc!$B$4=0,$B57&gt;IF(Start!$D$10="Avalanche",Calc!$B$3,Calc!$B$2)),Calc!$B$20=0),"",IF(N(AJ56)&lt;=0.005,"",IF(Start!$D$10="Avalanche",INDEX(Calc!EY$75:EY$89,Calc!$F$20),INDEX(Calc!EY$50:EY$64,Calc!$D$20))))</f>
        <v/>
      </c>
    </row>
    <row r="58">
      <c r="B58" s="17" t="n">
        <v>52</v>
      </c>
      <c r="C58" s="19">
        <f>IF(Calc!$B$4=0,"",EDATE(Start!$D$11,51))</f>
        <v/>
      </c>
      <c r="D58" s="20">
        <f>IF(OR(Calc!$B$4=0,$B58&gt;IF(Start!$D$10="Avalanche",Calc!$B$3,Calc!$B$2)),"",SUM(G58,I58,K58,M58,O58,Q58,S58,U58,W58,Y58,AA58,AC58,AE58,AG58,AI58))</f>
        <v/>
      </c>
      <c r="E58" s="20">
        <f>IF(OR(Calc!$B$4=0,$B58&gt;IF(Start!$D$10="Avalanche",Calc!$B$3,Calc!$B$2)),"",IF(Start!$D$10="Avalanche",Calc!EZ$72,Calc!EZ$47))</f>
        <v/>
      </c>
      <c r="F58" s="21">
        <f>IF(Calc!$B$4=0,"",IF($B58&gt;IF(Start!$D$10="Avalanche",Calc!$B$3,Calc!$B$2),NA(),SUM(H58,J58,L58,N58,P58,R58,T58,V58,X58,Z58,AB58,AD58,AF58,AH58,AJ58)))</f>
        <v/>
      </c>
      <c r="G58" s="20">
        <f>IF(H58="","",N(H57)*(1+Start!$E$14/12)-H58)</f>
        <v/>
      </c>
      <c r="H58" s="20">
        <f>IF(OR(OR(Calc!$B$4=0,$B58&gt;IF(Start!$D$10="Avalanche",Calc!$B$3,Calc!$B$2)),Calc!$B$6=0),"",IF(N(H57)&lt;=0.005,"",IF(Start!$D$10="Avalanche",INDEX(Calc!FB$75:FB$89,Calc!$F$6),INDEX(Calc!FB$50:FB$64,Calc!$D$6))))</f>
        <v/>
      </c>
      <c r="I58" s="20">
        <f>IF(J58="","",N(J57)*(1+Start!$E$15/12)-J58)</f>
        <v/>
      </c>
      <c r="J58" s="20">
        <f>IF(OR(OR(Calc!$B$4=0,$B58&gt;IF(Start!$D$10="Avalanche",Calc!$B$3,Calc!$B$2)),Calc!$B$7=0),"",IF(N(J57)&lt;=0.005,"",IF(Start!$D$10="Avalanche",INDEX(Calc!FB$75:FB$89,Calc!$F$7),INDEX(Calc!FB$50:FB$64,Calc!$D$7))))</f>
        <v/>
      </c>
      <c r="K58" s="20">
        <f>IF(L58="","",N(L57)*(1+Start!$E$16/12)-L58)</f>
        <v/>
      </c>
      <c r="L58" s="20">
        <f>IF(OR(OR(Calc!$B$4=0,$B58&gt;IF(Start!$D$10="Avalanche",Calc!$B$3,Calc!$B$2)),Calc!$B$8=0),"",IF(N(L57)&lt;=0.005,"",IF(Start!$D$10="Avalanche",INDEX(Calc!FB$75:FB$89,Calc!$F$8),INDEX(Calc!FB$50:FB$64,Calc!$D$8))))</f>
        <v/>
      </c>
      <c r="M58" s="20">
        <f>IF(N58="","",N(N57)*(1+Start!$E$17/12)-N58)</f>
        <v/>
      </c>
      <c r="N58" s="20">
        <f>IF(OR(OR(Calc!$B$4=0,$B58&gt;IF(Start!$D$10="Avalanche",Calc!$B$3,Calc!$B$2)),Calc!$B$9=0),"",IF(N(N57)&lt;=0.005,"",IF(Start!$D$10="Avalanche",INDEX(Calc!FB$75:FB$89,Calc!$F$9),INDEX(Calc!FB$50:FB$64,Calc!$D$9))))</f>
        <v/>
      </c>
      <c r="O58" s="20">
        <f>IF(P58="","",N(P57)*(1+Start!$E$18/12)-P58)</f>
        <v/>
      </c>
      <c r="P58" s="20">
        <f>IF(OR(OR(Calc!$B$4=0,$B58&gt;IF(Start!$D$10="Avalanche",Calc!$B$3,Calc!$B$2)),Calc!$B$10=0),"",IF(N(P57)&lt;=0.005,"",IF(Start!$D$10="Avalanche",INDEX(Calc!FB$75:FB$89,Calc!$F$10),INDEX(Calc!FB$50:FB$64,Calc!$D$10))))</f>
        <v/>
      </c>
      <c r="Q58" s="20">
        <f>IF(R58="","",N(R57)*(1+Start!$E$19/12)-R58)</f>
        <v/>
      </c>
      <c r="R58" s="20">
        <f>IF(OR(OR(Calc!$B$4=0,$B58&gt;IF(Start!$D$10="Avalanche",Calc!$B$3,Calc!$B$2)),Calc!$B$11=0),"",IF(N(R57)&lt;=0.005,"",IF(Start!$D$10="Avalanche",INDEX(Calc!FB$75:FB$89,Calc!$F$11),INDEX(Calc!FB$50:FB$64,Calc!$D$11))))</f>
        <v/>
      </c>
      <c r="S58" s="20">
        <f>IF(T58="","",N(T57)*(1+Start!$E$20/12)-T58)</f>
        <v/>
      </c>
      <c r="T58" s="20">
        <f>IF(OR(OR(Calc!$B$4=0,$B58&gt;IF(Start!$D$10="Avalanche",Calc!$B$3,Calc!$B$2)),Calc!$B$12=0),"",IF(N(T57)&lt;=0.005,"",IF(Start!$D$10="Avalanche",INDEX(Calc!FB$75:FB$89,Calc!$F$12),INDEX(Calc!FB$50:FB$64,Calc!$D$12))))</f>
        <v/>
      </c>
      <c r="U58" s="20">
        <f>IF(V58="","",N(V57)*(1+Start!$E$21/12)-V58)</f>
        <v/>
      </c>
      <c r="V58" s="20">
        <f>IF(OR(OR(Calc!$B$4=0,$B58&gt;IF(Start!$D$10="Avalanche",Calc!$B$3,Calc!$B$2)),Calc!$B$13=0),"",IF(N(V57)&lt;=0.005,"",IF(Start!$D$10="Avalanche",INDEX(Calc!FB$75:FB$89,Calc!$F$13),INDEX(Calc!FB$50:FB$64,Calc!$D$13))))</f>
        <v/>
      </c>
      <c r="W58" s="20">
        <f>IF(X58="","",N(X57)*(1+Start!$E$22/12)-X58)</f>
        <v/>
      </c>
      <c r="X58" s="20">
        <f>IF(OR(OR(Calc!$B$4=0,$B58&gt;IF(Start!$D$10="Avalanche",Calc!$B$3,Calc!$B$2)),Calc!$B$14=0),"",IF(N(X57)&lt;=0.005,"",IF(Start!$D$10="Avalanche",INDEX(Calc!FB$75:FB$89,Calc!$F$14),INDEX(Calc!FB$50:FB$64,Calc!$D$14))))</f>
        <v/>
      </c>
      <c r="Y58" s="20">
        <f>IF(Z58="","",N(Z57)*(1+Start!$E$23/12)-Z58)</f>
        <v/>
      </c>
      <c r="Z58" s="20">
        <f>IF(OR(OR(Calc!$B$4=0,$B58&gt;IF(Start!$D$10="Avalanche",Calc!$B$3,Calc!$B$2)),Calc!$B$15=0),"",IF(N(Z57)&lt;=0.005,"",IF(Start!$D$10="Avalanche",INDEX(Calc!FB$75:FB$89,Calc!$F$15),INDEX(Calc!FB$50:FB$64,Calc!$D$15))))</f>
        <v/>
      </c>
      <c r="AA58" s="20">
        <f>IF(AB58="","",N(AB57)*(1+Start!$E$24/12)-AB58)</f>
        <v/>
      </c>
      <c r="AB58" s="20">
        <f>IF(OR(OR(Calc!$B$4=0,$B58&gt;IF(Start!$D$10="Avalanche",Calc!$B$3,Calc!$B$2)),Calc!$B$16=0),"",IF(N(AB57)&lt;=0.005,"",IF(Start!$D$10="Avalanche",INDEX(Calc!FB$75:FB$89,Calc!$F$16),INDEX(Calc!FB$50:FB$64,Calc!$D$16))))</f>
        <v/>
      </c>
      <c r="AC58" s="20">
        <f>IF(AD58="","",N(AD57)*(1+Start!$E$25/12)-AD58)</f>
        <v/>
      </c>
      <c r="AD58" s="20">
        <f>IF(OR(OR(Calc!$B$4=0,$B58&gt;IF(Start!$D$10="Avalanche",Calc!$B$3,Calc!$B$2)),Calc!$B$17=0),"",IF(N(AD57)&lt;=0.005,"",IF(Start!$D$10="Avalanche",INDEX(Calc!FB$75:FB$89,Calc!$F$17),INDEX(Calc!FB$50:FB$64,Calc!$D$17))))</f>
        <v/>
      </c>
      <c r="AE58" s="20">
        <f>IF(AF58="","",N(AF57)*(1+Start!$E$26/12)-AF58)</f>
        <v/>
      </c>
      <c r="AF58" s="20">
        <f>IF(OR(OR(Calc!$B$4=0,$B58&gt;IF(Start!$D$10="Avalanche",Calc!$B$3,Calc!$B$2)),Calc!$B$18=0),"",IF(N(AF57)&lt;=0.005,"",IF(Start!$D$10="Avalanche",INDEX(Calc!FB$75:FB$89,Calc!$F$18),INDEX(Calc!FB$50:FB$64,Calc!$D$18))))</f>
        <v/>
      </c>
      <c r="AG58" s="20">
        <f>IF(AH58="","",N(AH57)*(1+Start!$E$27/12)-AH58)</f>
        <v/>
      </c>
      <c r="AH58" s="20">
        <f>IF(OR(OR(Calc!$B$4=0,$B58&gt;IF(Start!$D$10="Avalanche",Calc!$B$3,Calc!$B$2)),Calc!$B$19=0),"",IF(N(AH57)&lt;=0.005,"",IF(Start!$D$10="Avalanche",INDEX(Calc!FB$75:FB$89,Calc!$F$19),INDEX(Calc!FB$50:FB$64,Calc!$D$19))))</f>
        <v/>
      </c>
      <c r="AI58" s="20">
        <f>IF(AJ58="","",N(AJ57)*(1+Start!$E$28/12)-AJ58)</f>
        <v/>
      </c>
      <c r="AJ58" s="20">
        <f>IF(OR(OR(Calc!$B$4=0,$B58&gt;IF(Start!$D$10="Avalanche",Calc!$B$3,Calc!$B$2)),Calc!$B$20=0),"",IF(N(AJ57)&lt;=0.005,"",IF(Start!$D$10="Avalanche",INDEX(Calc!FB$75:FB$89,Calc!$F$20),INDEX(Calc!FB$50:FB$64,Calc!$D$20))))</f>
        <v/>
      </c>
    </row>
    <row r="59">
      <c r="B59" s="17" t="n">
        <v>53</v>
      </c>
      <c r="C59" s="19">
        <f>IF(Calc!$B$4=0,"",EDATE(Start!$D$11,52))</f>
        <v/>
      </c>
      <c r="D59" s="20">
        <f>IF(OR(Calc!$B$4=0,$B59&gt;IF(Start!$D$10="Avalanche",Calc!$B$3,Calc!$B$2)),"",SUM(G59,I59,K59,M59,O59,Q59,S59,U59,W59,Y59,AA59,AC59,AE59,AG59,AI59))</f>
        <v/>
      </c>
      <c r="E59" s="20">
        <f>IF(OR(Calc!$B$4=0,$B59&gt;IF(Start!$D$10="Avalanche",Calc!$B$3,Calc!$B$2)),"",IF(Start!$D$10="Avalanche",Calc!FC$72,Calc!FC$47))</f>
        <v/>
      </c>
      <c r="F59" s="21">
        <f>IF(Calc!$B$4=0,"",IF($B59&gt;IF(Start!$D$10="Avalanche",Calc!$B$3,Calc!$B$2),NA(),SUM(H59,J59,L59,N59,P59,R59,T59,V59,X59,Z59,AB59,AD59,AF59,AH59,AJ59)))</f>
        <v/>
      </c>
      <c r="G59" s="20">
        <f>IF(H59="","",N(H58)*(1+Start!$E$14/12)-H59)</f>
        <v/>
      </c>
      <c r="H59" s="20">
        <f>IF(OR(OR(Calc!$B$4=0,$B59&gt;IF(Start!$D$10="Avalanche",Calc!$B$3,Calc!$B$2)),Calc!$B$6=0),"",IF(N(H58)&lt;=0.005,"",IF(Start!$D$10="Avalanche",INDEX(Calc!FE$75:FE$89,Calc!$F$6),INDEX(Calc!FE$50:FE$64,Calc!$D$6))))</f>
        <v/>
      </c>
      <c r="I59" s="20">
        <f>IF(J59="","",N(J58)*(1+Start!$E$15/12)-J59)</f>
        <v/>
      </c>
      <c r="J59" s="20">
        <f>IF(OR(OR(Calc!$B$4=0,$B59&gt;IF(Start!$D$10="Avalanche",Calc!$B$3,Calc!$B$2)),Calc!$B$7=0),"",IF(N(J58)&lt;=0.005,"",IF(Start!$D$10="Avalanche",INDEX(Calc!FE$75:FE$89,Calc!$F$7),INDEX(Calc!FE$50:FE$64,Calc!$D$7))))</f>
        <v/>
      </c>
      <c r="K59" s="20">
        <f>IF(L59="","",N(L58)*(1+Start!$E$16/12)-L59)</f>
        <v/>
      </c>
      <c r="L59" s="20">
        <f>IF(OR(OR(Calc!$B$4=0,$B59&gt;IF(Start!$D$10="Avalanche",Calc!$B$3,Calc!$B$2)),Calc!$B$8=0),"",IF(N(L58)&lt;=0.005,"",IF(Start!$D$10="Avalanche",INDEX(Calc!FE$75:FE$89,Calc!$F$8),INDEX(Calc!FE$50:FE$64,Calc!$D$8))))</f>
        <v/>
      </c>
      <c r="M59" s="20">
        <f>IF(N59="","",N(N58)*(1+Start!$E$17/12)-N59)</f>
        <v/>
      </c>
      <c r="N59" s="20">
        <f>IF(OR(OR(Calc!$B$4=0,$B59&gt;IF(Start!$D$10="Avalanche",Calc!$B$3,Calc!$B$2)),Calc!$B$9=0),"",IF(N(N58)&lt;=0.005,"",IF(Start!$D$10="Avalanche",INDEX(Calc!FE$75:FE$89,Calc!$F$9),INDEX(Calc!FE$50:FE$64,Calc!$D$9))))</f>
        <v/>
      </c>
      <c r="O59" s="20">
        <f>IF(P59="","",N(P58)*(1+Start!$E$18/12)-P59)</f>
        <v/>
      </c>
      <c r="P59" s="20">
        <f>IF(OR(OR(Calc!$B$4=0,$B59&gt;IF(Start!$D$10="Avalanche",Calc!$B$3,Calc!$B$2)),Calc!$B$10=0),"",IF(N(P58)&lt;=0.005,"",IF(Start!$D$10="Avalanche",INDEX(Calc!FE$75:FE$89,Calc!$F$10),INDEX(Calc!FE$50:FE$64,Calc!$D$10))))</f>
        <v/>
      </c>
      <c r="Q59" s="20">
        <f>IF(R59="","",N(R58)*(1+Start!$E$19/12)-R59)</f>
        <v/>
      </c>
      <c r="R59" s="20">
        <f>IF(OR(OR(Calc!$B$4=0,$B59&gt;IF(Start!$D$10="Avalanche",Calc!$B$3,Calc!$B$2)),Calc!$B$11=0),"",IF(N(R58)&lt;=0.005,"",IF(Start!$D$10="Avalanche",INDEX(Calc!FE$75:FE$89,Calc!$F$11),INDEX(Calc!FE$50:FE$64,Calc!$D$11))))</f>
        <v/>
      </c>
      <c r="S59" s="20">
        <f>IF(T59="","",N(T58)*(1+Start!$E$20/12)-T59)</f>
        <v/>
      </c>
      <c r="T59" s="20">
        <f>IF(OR(OR(Calc!$B$4=0,$B59&gt;IF(Start!$D$10="Avalanche",Calc!$B$3,Calc!$B$2)),Calc!$B$12=0),"",IF(N(T58)&lt;=0.005,"",IF(Start!$D$10="Avalanche",INDEX(Calc!FE$75:FE$89,Calc!$F$12),INDEX(Calc!FE$50:FE$64,Calc!$D$12))))</f>
        <v/>
      </c>
      <c r="U59" s="20">
        <f>IF(V59="","",N(V58)*(1+Start!$E$21/12)-V59)</f>
        <v/>
      </c>
      <c r="V59" s="20">
        <f>IF(OR(OR(Calc!$B$4=0,$B59&gt;IF(Start!$D$10="Avalanche",Calc!$B$3,Calc!$B$2)),Calc!$B$13=0),"",IF(N(V58)&lt;=0.005,"",IF(Start!$D$10="Avalanche",INDEX(Calc!FE$75:FE$89,Calc!$F$13),INDEX(Calc!FE$50:FE$64,Calc!$D$13))))</f>
        <v/>
      </c>
      <c r="W59" s="20">
        <f>IF(X59="","",N(X58)*(1+Start!$E$22/12)-X59)</f>
        <v/>
      </c>
      <c r="X59" s="20">
        <f>IF(OR(OR(Calc!$B$4=0,$B59&gt;IF(Start!$D$10="Avalanche",Calc!$B$3,Calc!$B$2)),Calc!$B$14=0),"",IF(N(X58)&lt;=0.005,"",IF(Start!$D$10="Avalanche",INDEX(Calc!FE$75:FE$89,Calc!$F$14),INDEX(Calc!FE$50:FE$64,Calc!$D$14))))</f>
        <v/>
      </c>
      <c r="Y59" s="20">
        <f>IF(Z59="","",N(Z58)*(1+Start!$E$23/12)-Z59)</f>
        <v/>
      </c>
      <c r="Z59" s="20">
        <f>IF(OR(OR(Calc!$B$4=0,$B59&gt;IF(Start!$D$10="Avalanche",Calc!$B$3,Calc!$B$2)),Calc!$B$15=0),"",IF(N(Z58)&lt;=0.005,"",IF(Start!$D$10="Avalanche",INDEX(Calc!FE$75:FE$89,Calc!$F$15),INDEX(Calc!FE$50:FE$64,Calc!$D$15))))</f>
        <v/>
      </c>
      <c r="AA59" s="20">
        <f>IF(AB59="","",N(AB58)*(1+Start!$E$24/12)-AB59)</f>
        <v/>
      </c>
      <c r="AB59" s="20">
        <f>IF(OR(OR(Calc!$B$4=0,$B59&gt;IF(Start!$D$10="Avalanche",Calc!$B$3,Calc!$B$2)),Calc!$B$16=0),"",IF(N(AB58)&lt;=0.005,"",IF(Start!$D$10="Avalanche",INDEX(Calc!FE$75:FE$89,Calc!$F$16),INDEX(Calc!FE$50:FE$64,Calc!$D$16))))</f>
        <v/>
      </c>
      <c r="AC59" s="20">
        <f>IF(AD59="","",N(AD58)*(1+Start!$E$25/12)-AD59)</f>
        <v/>
      </c>
      <c r="AD59" s="20">
        <f>IF(OR(OR(Calc!$B$4=0,$B59&gt;IF(Start!$D$10="Avalanche",Calc!$B$3,Calc!$B$2)),Calc!$B$17=0),"",IF(N(AD58)&lt;=0.005,"",IF(Start!$D$10="Avalanche",INDEX(Calc!FE$75:FE$89,Calc!$F$17),INDEX(Calc!FE$50:FE$64,Calc!$D$17))))</f>
        <v/>
      </c>
      <c r="AE59" s="20">
        <f>IF(AF59="","",N(AF58)*(1+Start!$E$26/12)-AF59)</f>
        <v/>
      </c>
      <c r="AF59" s="20">
        <f>IF(OR(OR(Calc!$B$4=0,$B59&gt;IF(Start!$D$10="Avalanche",Calc!$B$3,Calc!$B$2)),Calc!$B$18=0),"",IF(N(AF58)&lt;=0.005,"",IF(Start!$D$10="Avalanche",INDEX(Calc!FE$75:FE$89,Calc!$F$18),INDEX(Calc!FE$50:FE$64,Calc!$D$18))))</f>
        <v/>
      </c>
      <c r="AG59" s="20">
        <f>IF(AH59="","",N(AH58)*(1+Start!$E$27/12)-AH59)</f>
        <v/>
      </c>
      <c r="AH59" s="20">
        <f>IF(OR(OR(Calc!$B$4=0,$B59&gt;IF(Start!$D$10="Avalanche",Calc!$B$3,Calc!$B$2)),Calc!$B$19=0),"",IF(N(AH58)&lt;=0.005,"",IF(Start!$D$10="Avalanche",INDEX(Calc!FE$75:FE$89,Calc!$F$19),INDEX(Calc!FE$50:FE$64,Calc!$D$19))))</f>
        <v/>
      </c>
      <c r="AI59" s="20">
        <f>IF(AJ59="","",N(AJ58)*(1+Start!$E$28/12)-AJ59)</f>
        <v/>
      </c>
      <c r="AJ59" s="20">
        <f>IF(OR(OR(Calc!$B$4=0,$B59&gt;IF(Start!$D$10="Avalanche",Calc!$B$3,Calc!$B$2)),Calc!$B$20=0),"",IF(N(AJ58)&lt;=0.005,"",IF(Start!$D$10="Avalanche",INDEX(Calc!FE$75:FE$89,Calc!$F$20),INDEX(Calc!FE$50:FE$64,Calc!$D$20))))</f>
        <v/>
      </c>
    </row>
    <row r="60">
      <c r="B60" s="17" t="n">
        <v>54</v>
      </c>
      <c r="C60" s="19">
        <f>IF(Calc!$B$4=0,"",EDATE(Start!$D$11,53))</f>
        <v/>
      </c>
      <c r="D60" s="20">
        <f>IF(OR(Calc!$B$4=0,$B60&gt;IF(Start!$D$10="Avalanche",Calc!$B$3,Calc!$B$2)),"",SUM(G60,I60,K60,M60,O60,Q60,S60,U60,W60,Y60,AA60,AC60,AE60,AG60,AI60))</f>
        <v/>
      </c>
      <c r="E60" s="20">
        <f>IF(OR(Calc!$B$4=0,$B60&gt;IF(Start!$D$10="Avalanche",Calc!$B$3,Calc!$B$2)),"",IF(Start!$D$10="Avalanche",Calc!FF$72,Calc!FF$47))</f>
        <v/>
      </c>
      <c r="F60" s="21">
        <f>IF(Calc!$B$4=0,"",IF($B60&gt;IF(Start!$D$10="Avalanche",Calc!$B$3,Calc!$B$2),NA(),SUM(H60,J60,L60,N60,P60,R60,T60,V60,X60,Z60,AB60,AD60,AF60,AH60,AJ60)))</f>
        <v/>
      </c>
      <c r="G60" s="20">
        <f>IF(H60="","",N(H59)*(1+Start!$E$14/12)-H60)</f>
        <v/>
      </c>
      <c r="H60" s="20">
        <f>IF(OR(OR(Calc!$B$4=0,$B60&gt;IF(Start!$D$10="Avalanche",Calc!$B$3,Calc!$B$2)),Calc!$B$6=0),"",IF(N(H59)&lt;=0.005,"",IF(Start!$D$10="Avalanche",INDEX(Calc!FH$75:FH$89,Calc!$F$6),INDEX(Calc!FH$50:FH$64,Calc!$D$6))))</f>
        <v/>
      </c>
      <c r="I60" s="20">
        <f>IF(J60="","",N(J59)*(1+Start!$E$15/12)-J60)</f>
        <v/>
      </c>
      <c r="J60" s="20">
        <f>IF(OR(OR(Calc!$B$4=0,$B60&gt;IF(Start!$D$10="Avalanche",Calc!$B$3,Calc!$B$2)),Calc!$B$7=0),"",IF(N(J59)&lt;=0.005,"",IF(Start!$D$10="Avalanche",INDEX(Calc!FH$75:FH$89,Calc!$F$7),INDEX(Calc!FH$50:FH$64,Calc!$D$7))))</f>
        <v/>
      </c>
      <c r="K60" s="20">
        <f>IF(L60="","",N(L59)*(1+Start!$E$16/12)-L60)</f>
        <v/>
      </c>
      <c r="L60" s="20">
        <f>IF(OR(OR(Calc!$B$4=0,$B60&gt;IF(Start!$D$10="Avalanche",Calc!$B$3,Calc!$B$2)),Calc!$B$8=0),"",IF(N(L59)&lt;=0.005,"",IF(Start!$D$10="Avalanche",INDEX(Calc!FH$75:FH$89,Calc!$F$8),INDEX(Calc!FH$50:FH$64,Calc!$D$8))))</f>
        <v/>
      </c>
      <c r="M60" s="20">
        <f>IF(N60="","",N(N59)*(1+Start!$E$17/12)-N60)</f>
        <v/>
      </c>
      <c r="N60" s="20">
        <f>IF(OR(OR(Calc!$B$4=0,$B60&gt;IF(Start!$D$10="Avalanche",Calc!$B$3,Calc!$B$2)),Calc!$B$9=0),"",IF(N(N59)&lt;=0.005,"",IF(Start!$D$10="Avalanche",INDEX(Calc!FH$75:FH$89,Calc!$F$9),INDEX(Calc!FH$50:FH$64,Calc!$D$9))))</f>
        <v/>
      </c>
      <c r="O60" s="20">
        <f>IF(P60="","",N(P59)*(1+Start!$E$18/12)-P60)</f>
        <v/>
      </c>
      <c r="P60" s="20">
        <f>IF(OR(OR(Calc!$B$4=0,$B60&gt;IF(Start!$D$10="Avalanche",Calc!$B$3,Calc!$B$2)),Calc!$B$10=0),"",IF(N(P59)&lt;=0.005,"",IF(Start!$D$10="Avalanche",INDEX(Calc!FH$75:FH$89,Calc!$F$10),INDEX(Calc!FH$50:FH$64,Calc!$D$10))))</f>
        <v/>
      </c>
      <c r="Q60" s="20">
        <f>IF(R60="","",N(R59)*(1+Start!$E$19/12)-R60)</f>
        <v/>
      </c>
      <c r="R60" s="20">
        <f>IF(OR(OR(Calc!$B$4=0,$B60&gt;IF(Start!$D$10="Avalanche",Calc!$B$3,Calc!$B$2)),Calc!$B$11=0),"",IF(N(R59)&lt;=0.005,"",IF(Start!$D$10="Avalanche",INDEX(Calc!FH$75:FH$89,Calc!$F$11),INDEX(Calc!FH$50:FH$64,Calc!$D$11))))</f>
        <v/>
      </c>
      <c r="S60" s="20">
        <f>IF(T60="","",N(T59)*(1+Start!$E$20/12)-T60)</f>
        <v/>
      </c>
      <c r="T60" s="20">
        <f>IF(OR(OR(Calc!$B$4=0,$B60&gt;IF(Start!$D$10="Avalanche",Calc!$B$3,Calc!$B$2)),Calc!$B$12=0),"",IF(N(T59)&lt;=0.005,"",IF(Start!$D$10="Avalanche",INDEX(Calc!FH$75:FH$89,Calc!$F$12),INDEX(Calc!FH$50:FH$64,Calc!$D$12))))</f>
        <v/>
      </c>
      <c r="U60" s="20">
        <f>IF(V60="","",N(V59)*(1+Start!$E$21/12)-V60)</f>
        <v/>
      </c>
      <c r="V60" s="20">
        <f>IF(OR(OR(Calc!$B$4=0,$B60&gt;IF(Start!$D$10="Avalanche",Calc!$B$3,Calc!$B$2)),Calc!$B$13=0),"",IF(N(V59)&lt;=0.005,"",IF(Start!$D$10="Avalanche",INDEX(Calc!FH$75:FH$89,Calc!$F$13),INDEX(Calc!FH$50:FH$64,Calc!$D$13))))</f>
        <v/>
      </c>
      <c r="W60" s="20">
        <f>IF(X60="","",N(X59)*(1+Start!$E$22/12)-X60)</f>
        <v/>
      </c>
      <c r="X60" s="20">
        <f>IF(OR(OR(Calc!$B$4=0,$B60&gt;IF(Start!$D$10="Avalanche",Calc!$B$3,Calc!$B$2)),Calc!$B$14=0),"",IF(N(X59)&lt;=0.005,"",IF(Start!$D$10="Avalanche",INDEX(Calc!FH$75:FH$89,Calc!$F$14),INDEX(Calc!FH$50:FH$64,Calc!$D$14))))</f>
        <v/>
      </c>
      <c r="Y60" s="20">
        <f>IF(Z60="","",N(Z59)*(1+Start!$E$23/12)-Z60)</f>
        <v/>
      </c>
      <c r="Z60" s="20">
        <f>IF(OR(OR(Calc!$B$4=0,$B60&gt;IF(Start!$D$10="Avalanche",Calc!$B$3,Calc!$B$2)),Calc!$B$15=0),"",IF(N(Z59)&lt;=0.005,"",IF(Start!$D$10="Avalanche",INDEX(Calc!FH$75:FH$89,Calc!$F$15),INDEX(Calc!FH$50:FH$64,Calc!$D$15))))</f>
        <v/>
      </c>
      <c r="AA60" s="20">
        <f>IF(AB60="","",N(AB59)*(1+Start!$E$24/12)-AB60)</f>
        <v/>
      </c>
      <c r="AB60" s="20">
        <f>IF(OR(OR(Calc!$B$4=0,$B60&gt;IF(Start!$D$10="Avalanche",Calc!$B$3,Calc!$B$2)),Calc!$B$16=0),"",IF(N(AB59)&lt;=0.005,"",IF(Start!$D$10="Avalanche",INDEX(Calc!FH$75:FH$89,Calc!$F$16),INDEX(Calc!FH$50:FH$64,Calc!$D$16))))</f>
        <v/>
      </c>
      <c r="AC60" s="20">
        <f>IF(AD60="","",N(AD59)*(1+Start!$E$25/12)-AD60)</f>
        <v/>
      </c>
      <c r="AD60" s="20">
        <f>IF(OR(OR(Calc!$B$4=0,$B60&gt;IF(Start!$D$10="Avalanche",Calc!$B$3,Calc!$B$2)),Calc!$B$17=0),"",IF(N(AD59)&lt;=0.005,"",IF(Start!$D$10="Avalanche",INDEX(Calc!FH$75:FH$89,Calc!$F$17),INDEX(Calc!FH$50:FH$64,Calc!$D$17))))</f>
        <v/>
      </c>
      <c r="AE60" s="20">
        <f>IF(AF60="","",N(AF59)*(1+Start!$E$26/12)-AF60)</f>
        <v/>
      </c>
      <c r="AF60" s="20">
        <f>IF(OR(OR(Calc!$B$4=0,$B60&gt;IF(Start!$D$10="Avalanche",Calc!$B$3,Calc!$B$2)),Calc!$B$18=0),"",IF(N(AF59)&lt;=0.005,"",IF(Start!$D$10="Avalanche",INDEX(Calc!FH$75:FH$89,Calc!$F$18),INDEX(Calc!FH$50:FH$64,Calc!$D$18))))</f>
        <v/>
      </c>
      <c r="AG60" s="20">
        <f>IF(AH60="","",N(AH59)*(1+Start!$E$27/12)-AH60)</f>
        <v/>
      </c>
      <c r="AH60" s="20">
        <f>IF(OR(OR(Calc!$B$4=0,$B60&gt;IF(Start!$D$10="Avalanche",Calc!$B$3,Calc!$B$2)),Calc!$B$19=0),"",IF(N(AH59)&lt;=0.005,"",IF(Start!$D$10="Avalanche",INDEX(Calc!FH$75:FH$89,Calc!$F$19),INDEX(Calc!FH$50:FH$64,Calc!$D$19))))</f>
        <v/>
      </c>
      <c r="AI60" s="20">
        <f>IF(AJ60="","",N(AJ59)*(1+Start!$E$28/12)-AJ60)</f>
        <v/>
      </c>
      <c r="AJ60" s="20">
        <f>IF(OR(OR(Calc!$B$4=0,$B60&gt;IF(Start!$D$10="Avalanche",Calc!$B$3,Calc!$B$2)),Calc!$B$20=0),"",IF(N(AJ59)&lt;=0.005,"",IF(Start!$D$10="Avalanche",INDEX(Calc!FH$75:FH$89,Calc!$F$20),INDEX(Calc!FH$50:FH$64,Calc!$D$20))))</f>
        <v/>
      </c>
    </row>
    <row r="61">
      <c r="B61" s="17" t="n">
        <v>55</v>
      </c>
      <c r="C61" s="19">
        <f>IF(Calc!$B$4=0,"",EDATE(Start!$D$11,54))</f>
        <v/>
      </c>
      <c r="D61" s="20">
        <f>IF(OR(Calc!$B$4=0,$B61&gt;IF(Start!$D$10="Avalanche",Calc!$B$3,Calc!$B$2)),"",SUM(G61,I61,K61,M61,O61,Q61,S61,U61,W61,Y61,AA61,AC61,AE61,AG61,AI61))</f>
        <v/>
      </c>
      <c r="E61" s="20">
        <f>IF(OR(Calc!$B$4=0,$B61&gt;IF(Start!$D$10="Avalanche",Calc!$B$3,Calc!$B$2)),"",IF(Start!$D$10="Avalanche",Calc!FI$72,Calc!FI$47))</f>
        <v/>
      </c>
      <c r="F61" s="21">
        <f>IF(Calc!$B$4=0,"",IF($B61&gt;IF(Start!$D$10="Avalanche",Calc!$B$3,Calc!$B$2),NA(),SUM(H61,J61,L61,N61,P61,R61,T61,V61,X61,Z61,AB61,AD61,AF61,AH61,AJ61)))</f>
        <v/>
      </c>
      <c r="G61" s="20">
        <f>IF(H61="","",N(H60)*(1+Start!$E$14/12)-H61)</f>
        <v/>
      </c>
      <c r="H61" s="20">
        <f>IF(OR(OR(Calc!$B$4=0,$B61&gt;IF(Start!$D$10="Avalanche",Calc!$B$3,Calc!$B$2)),Calc!$B$6=0),"",IF(N(H60)&lt;=0.005,"",IF(Start!$D$10="Avalanche",INDEX(Calc!FK$75:FK$89,Calc!$F$6),INDEX(Calc!FK$50:FK$64,Calc!$D$6))))</f>
        <v/>
      </c>
      <c r="I61" s="20">
        <f>IF(J61="","",N(J60)*(1+Start!$E$15/12)-J61)</f>
        <v/>
      </c>
      <c r="J61" s="20">
        <f>IF(OR(OR(Calc!$B$4=0,$B61&gt;IF(Start!$D$10="Avalanche",Calc!$B$3,Calc!$B$2)),Calc!$B$7=0),"",IF(N(J60)&lt;=0.005,"",IF(Start!$D$10="Avalanche",INDEX(Calc!FK$75:FK$89,Calc!$F$7),INDEX(Calc!FK$50:FK$64,Calc!$D$7))))</f>
        <v/>
      </c>
      <c r="K61" s="20">
        <f>IF(L61="","",N(L60)*(1+Start!$E$16/12)-L61)</f>
        <v/>
      </c>
      <c r="L61" s="20">
        <f>IF(OR(OR(Calc!$B$4=0,$B61&gt;IF(Start!$D$10="Avalanche",Calc!$B$3,Calc!$B$2)),Calc!$B$8=0),"",IF(N(L60)&lt;=0.005,"",IF(Start!$D$10="Avalanche",INDEX(Calc!FK$75:FK$89,Calc!$F$8),INDEX(Calc!FK$50:FK$64,Calc!$D$8))))</f>
        <v/>
      </c>
      <c r="M61" s="20">
        <f>IF(N61="","",N(N60)*(1+Start!$E$17/12)-N61)</f>
        <v/>
      </c>
      <c r="N61" s="20">
        <f>IF(OR(OR(Calc!$B$4=0,$B61&gt;IF(Start!$D$10="Avalanche",Calc!$B$3,Calc!$B$2)),Calc!$B$9=0),"",IF(N(N60)&lt;=0.005,"",IF(Start!$D$10="Avalanche",INDEX(Calc!FK$75:FK$89,Calc!$F$9),INDEX(Calc!FK$50:FK$64,Calc!$D$9))))</f>
        <v/>
      </c>
      <c r="O61" s="20">
        <f>IF(P61="","",N(P60)*(1+Start!$E$18/12)-P61)</f>
        <v/>
      </c>
      <c r="P61" s="20">
        <f>IF(OR(OR(Calc!$B$4=0,$B61&gt;IF(Start!$D$10="Avalanche",Calc!$B$3,Calc!$B$2)),Calc!$B$10=0),"",IF(N(P60)&lt;=0.005,"",IF(Start!$D$10="Avalanche",INDEX(Calc!FK$75:FK$89,Calc!$F$10),INDEX(Calc!FK$50:FK$64,Calc!$D$10))))</f>
        <v/>
      </c>
      <c r="Q61" s="20">
        <f>IF(R61="","",N(R60)*(1+Start!$E$19/12)-R61)</f>
        <v/>
      </c>
      <c r="R61" s="20">
        <f>IF(OR(OR(Calc!$B$4=0,$B61&gt;IF(Start!$D$10="Avalanche",Calc!$B$3,Calc!$B$2)),Calc!$B$11=0),"",IF(N(R60)&lt;=0.005,"",IF(Start!$D$10="Avalanche",INDEX(Calc!FK$75:FK$89,Calc!$F$11),INDEX(Calc!FK$50:FK$64,Calc!$D$11))))</f>
        <v/>
      </c>
      <c r="S61" s="20">
        <f>IF(T61="","",N(T60)*(1+Start!$E$20/12)-T61)</f>
        <v/>
      </c>
      <c r="T61" s="20">
        <f>IF(OR(OR(Calc!$B$4=0,$B61&gt;IF(Start!$D$10="Avalanche",Calc!$B$3,Calc!$B$2)),Calc!$B$12=0),"",IF(N(T60)&lt;=0.005,"",IF(Start!$D$10="Avalanche",INDEX(Calc!FK$75:FK$89,Calc!$F$12),INDEX(Calc!FK$50:FK$64,Calc!$D$12))))</f>
        <v/>
      </c>
      <c r="U61" s="20">
        <f>IF(V61="","",N(V60)*(1+Start!$E$21/12)-V61)</f>
        <v/>
      </c>
      <c r="V61" s="20">
        <f>IF(OR(OR(Calc!$B$4=0,$B61&gt;IF(Start!$D$10="Avalanche",Calc!$B$3,Calc!$B$2)),Calc!$B$13=0),"",IF(N(V60)&lt;=0.005,"",IF(Start!$D$10="Avalanche",INDEX(Calc!FK$75:FK$89,Calc!$F$13),INDEX(Calc!FK$50:FK$64,Calc!$D$13))))</f>
        <v/>
      </c>
      <c r="W61" s="20">
        <f>IF(X61="","",N(X60)*(1+Start!$E$22/12)-X61)</f>
        <v/>
      </c>
      <c r="X61" s="20">
        <f>IF(OR(OR(Calc!$B$4=0,$B61&gt;IF(Start!$D$10="Avalanche",Calc!$B$3,Calc!$B$2)),Calc!$B$14=0),"",IF(N(X60)&lt;=0.005,"",IF(Start!$D$10="Avalanche",INDEX(Calc!FK$75:FK$89,Calc!$F$14),INDEX(Calc!FK$50:FK$64,Calc!$D$14))))</f>
        <v/>
      </c>
      <c r="Y61" s="20">
        <f>IF(Z61="","",N(Z60)*(1+Start!$E$23/12)-Z61)</f>
        <v/>
      </c>
      <c r="Z61" s="20">
        <f>IF(OR(OR(Calc!$B$4=0,$B61&gt;IF(Start!$D$10="Avalanche",Calc!$B$3,Calc!$B$2)),Calc!$B$15=0),"",IF(N(Z60)&lt;=0.005,"",IF(Start!$D$10="Avalanche",INDEX(Calc!FK$75:FK$89,Calc!$F$15),INDEX(Calc!FK$50:FK$64,Calc!$D$15))))</f>
        <v/>
      </c>
      <c r="AA61" s="20">
        <f>IF(AB61="","",N(AB60)*(1+Start!$E$24/12)-AB61)</f>
        <v/>
      </c>
      <c r="AB61" s="20">
        <f>IF(OR(OR(Calc!$B$4=0,$B61&gt;IF(Start!$D$10="Avalanche",Calc!$B$3,Calc!$B$2)),Calc!$B$16=0),"",IF(N(AB60)&lt;=0.005,"",IF(Start!$D$10="Avalanche",INDEX(Calc!FK$75:FK$89,Calc!$F$16),INDEX(Calc!FK$50:FK$64,Calc!$D$16))))</f>
        <v/>
      </c>
      <c r="AC61" s="20">
        <f>IF(AD61="","",N(AD60)*(1+Start!$E$25/12)-AD61)</f>
        <v/>
      </c>
      <c r="AD61" s="20">
        <f>IF(OR(OR(Calc!$B$4=0,$B61&gt;IF(Start!$D$10="Avalanche",Calc!$B$3,Calc!$B$2)),Calc!$B$17=0),"",IF(N(AD60)&lt;=0.005,"",IF(Start!$D$10="Avalanche",INDEX(Calc!FK$75:FK$89,Calc!$F$17),INDEX(Calc!FK$50:FK$64,Calc!$D$17))))</f>
        <v/>
      </c>
      <c r="AE61" s="20">
        <f>IF(AF61="","",N(AF60)*(1+Start!$E$26/12)-AF61)</f>
        <v/>
      </c>
      <c r="AF61" s="20">
        <f>IF(OR(OR(Calc!$B$4=0,$B61&gt;IF(Start!$D$10="Avalanche",Calc!$B$3,Calc!$B$2)),Calc!$B$18=0),"",IF(N(AF60)&lt;=0.005,"",IF(Start!$D$10="Avalanche",INDEX(Calc!FK$75:FK$89,Calc!$F$18),INDEX(Calc!FK$50:FK$64,Calc!$D$18))))</f>
        <v/>
      </c>
      <c r="AG61" s="20">
        <f>IF(AH61="","",N(AH60)*(1+Start!$E$27/12)-AH61)</f>
        <v/>
      </c>
      <c r="AH61" s="20">
        <f>IF(OR(OR(Calc!$B$4=0,$B61&gt;IF(Start!$D$10="Avalanche",Calc!$B$3,Calc!$B$2)),Calc!$B$19=0),"",IF(N(AH60)&lt;=0.005,"",IF(Start!$D$10="Avalanche",INDEX(Calc!FK$75:FK$89,Calc!$F$19),INDEX(Calc!FK$50:FK$64,Calc!$D$19))))</f>
        <v/>
      </c>
      <c r="AI61" s="20">
        <f>IF(AJ61="","",N(AJ60)*(1+Start!$E$28/12)-AJ61)</f>
        <v/>
      </c>
      <c r="AJ61" s="20">
        <f>IF(OR(OR(Calc!$B$4=0,$B61&gt;IF(Start!$D$10="Avalanche",Calc!$B$3,Calc!$B$2)),Calc!$B$20=0),"",IF(N(AJ60)&lt;=0.005,"",IF(Start!$D$10="Avalanche",INDEX(Calc!FK$75:FK$89,Calc!$F$20),INDEX(Calc!FK$50:FK$64,Calc!$D$20))))</f>
        <v/>
      </c>
    </row>
    <row r="62">
      <c r="B62" s="17" t="n">
        <v>56</v>
      </c>
      <c r="C62" s="19">
        <f>IF(Calc!$B$4=0,"",EDATE(Start!$D$11,55))</f>
        <v/>
      </c>
      <c r="D62" s="20">
        <f>IF(OR(Calc!$B$4=0,$B62&gt;IF(Start!$D$10="Avalanche",Calc!$B$3,Calc!$B$2)),"",SUM(G62,I62,K62,M62,O62,Q62,S62,U62,W62,Y62,AA62,AC62,AE62,AG62,AI62))</f>
        <v/>
      </c>
      <c r="E62" s="20">
        <f>IF(OR(Calc!$B$4=0,$B62&gt;IF(Start!$D$10="Avalanche",Calc!$B$3,Calc!$B$2)),"",IF(Start!$D$10="Avalanche",Calc!FL$72,Calc!FL$47))</f>
        <v/>
      </c>
      <c r="F62" s="21">
        <f>IF(Calc!$B$4=0,"",IF($B62&gt;IF(Start!$D$10="Avalanche",Calc!$B$3,Calc!$B$2),NA(),SUM(H62,J62,L62,N62,P62,R62,T62,V62,X62,Z62,AB62,AD62,AF62,AH62,AJ62)))</f>
        <v/>
      </c>
      <c r="G62" s="20">
        <f>IF(H62="","",N(H61)*(1+Start!$E$14/12)-H62)</f>
        <v/>
      </c>
      <c r="H62" s="20">
        <f>IF(OR(OR(Calc!$B$4=0,$B62&gt;IF(Start!$D$10="Avalanche",Calc!$B$3,Calc!$B$2)),Calc!$B$6=0),"",IF(N(H61)&lt;=0.005,"",IF(Start!$D$10="Avalanche",INDEX(Calc!FN$75:FN$89,Calc!$F$6),INDEX(Calc!FN$50:FN$64,Calc!$D$6))))</f>
        <v/>
      </c>
      <c r="I62" s="20">
        <f>IF(J62="","",N(J61)*(1+Start!$E$15/12)-J62)</f>
        <v/>
      </c>
      <c r="J62" s="20">
        <f>IF(OR(OR(Calc!$B$4=0,$B62&gt;IF(Start!$D$10="Avalanche",Calc!$B$3,Calc!$B$2)),Calc!$B$7=0),"",IF(N(J61)&lt;=0.005,"",IF(Start!$D$10="Avalanche",INDEX(Calc!FN$75:FN$89,Calc!$F$7),INDEX(Calc!FN$50:FN$64,Calc!$D$7))))</f>
        <v/>
      </c>
      <c r="K62" s="20">
        <f>IF(L62="","",N(L61)*(1+Start!$E$16/12)-L62)</f>
        <v/>
      </c>
      <c r="L62" s="20">
        <f>IF(OR(OR(Calc!$B$4=0,$B62&gt;IF(Start!$D$10="Avalanche",Calc!$B$3,Calc!$B$2)),Calc!$B$8=0),"",IF(N(L61)&lt;=0.005,"",IF(Start!$D$10="Avalanche",INDEX(Calc!FN$75:FN$89,Calc!$F$8),INDEX(Calc!FN$50:FN$64,Calc!$D$8))))</f>
        <v/>
      </c>
      <c r="M62" s="20">
        <f>IF(N62="","",N(N61)*(1+Start!$E$17/12)-N62)</f>
        <v/>
      </c>
      <c r="N62" s="20">
        <f>IF(OR(OR(Calc!$B$4=0,$B62&gt;IF(Start!$D$10="Avalanche",Calc!$B$3,Calc!$B$2)),Calc!$B$9=0),"",IF(N(N61)&lt;=0.005,"",IF(Start!$D$10="Avalanche",INDEX(Calc!FN$75:FN$89,Calc!$F$9),INDEX(Calc!FN$50:FN$64,Calc!$D$9))))</f>
        <v/>
      </c>
      <c r="O62" s="20">
        <f>IF(P62="","",N(P61)*(1+Start!$E$18/12)-P62)</f>
        <v/>
      </c>
      <c r="P62" s="20">
        <f>IF(OR(OR(Calc!$B$4=0,$B62&gt;IF(Start!$D$10="Avalanche",Calc!$B$3,Calc!$B$2)),Calc!$B$10=0),"",IF(N(P61)&lt;=0.005,"",IF(Start!$D$10="Avalanche",INDEX(Calc!FN$75:FN$89,Calc!$F$10),INDEX(Calc!FN$50:FN$64,Calc!$D$10))))</f>
        <v/>
      </c>
      <c r="Q62" s="20">
        <f>IF(R62="","",N(R61)*(1+Start!$E$19/12)-R62)</f>
        <v/>
      </c>
      <c r="R62" s="20">
        <f>IF(OR(OR(Calc!$B$4=0,$B62&gt;IF(Start!$D$10="Avalanche",Calc!$B$3,Calc!$B$2)),Calc!$B$11=0),"",IF(N(R61)&lt;=0.005,"",IF(Start!$D$10="Avalanche",INDEX(Calc!FN$75:FN$89,Calc!$F$11),INDEX(Calc!FN$50:FN$64,Calc!$D$11))))</f>
        <v/>
      </c>
      <c r="S62" s="20">
        <f>IF(T62="","",N(T61)*(1+Start!$E$20/12)-T62)</f>
        <v/>
      </c>
      <c r="T62" s="20">
        <f>IF(OR(OR(Calc!$B$4=0,$B62&gt;IF(Start!$D$10="Avalanche",Calc!$B$3,Calc!$B$2)),Calc!$B$12=0),"",IF(N(T61)&lt;=0.005,"",IF(Start!$D$10="Avalanche",INDEX(Calc!FN$75:FN$89,Calc!$F$12),INDEX(Calc!FN$50:FN$64,Calc!$D$12))))</f>
        <v/>
      </c>
      <c r="U62" s="20">
        <f>IF(V62="","",N(V61)*(1+Start!$E$21/12)-V62)</f>
        <v/>
      </c>
      <c r="V62" s="20">
        <f>IF(OR(OR(Calc!$B$4=0,$B62&gt;IF(Start!$D$10="Avalanche",Calc!$B$3,Calc!$B$2)),Calc!$B$13=0),"",IF(N(V61)&lt;=0.005,"",IF(Start!$D$10="Avalanche",INDEX(Calc!FN$75:FN$89,Calc!$F$13),INDEX(Calc!FN$50:FN$64,Calc!$D$13))))</f>
        <v/>
      </c>
      <c r="W62" s="20">
        <f>IF(X62="","",N(X61)*(1+Start!$E$22/12)-X62)</f>
        <v/>
      </c>
      <c r="X62" s="20">
        <f>IF(OR(OR(Calc!$B$4=0,$B62&gt;IF(Start!$D$10="Avalanche",Calc!$B$3,Calc!$B$2)),Calc!$B$14=0),"",IF(N(X61)&lt;=0.005,"",IF(Start!$D$10="Avalanche",INDEX(Calc!FN$75:FN$89,Calc!$F$14),INDEX(Calc!FN$50:FN$64,Calc!$D$14))))</f>
        <v/>
      </c>
      <c r="Y62" s="20">
        <f>IF(Z62="","",N(Z61)*(1+Start!$E$23/12)-Z62)</f>
        <v/>
      </c>
      <c r="Z62" s="20">
        <f>IF(OR(OR(Calc!$B$4=0,$B62&gt;IF(Start!$D$10="Avalanche",Calc!$B$3,Calc!$B$2)),Calc!$B$15=0),"",IF(N(Z61)&lt;=0.005,"",IF(Start!$D$10="Avalanche",INDEX(Calc!FN$75:FN$89,Calc!$F$15),INDEX(Calc!FN$50:FN$64,Calc!$D$15))))</f>
        <v/>
      </c>
      <c r="AA62" s="20">
        <f>IF(AB62="","",N(AB61)*(1+Start!$E$24/12)-AB62)</f>
        <v/>
      </c>
      <c r="AB62" s="20">
        <f>IF(OR(OR(Calc!$B$4=0,$B62&gt;IF(Start!$D$10="Avalanche",Calc!$B$3,Calc!$B$2)),Calc!$B$16=0),"",IF(N(AB61)&lt;=0.005,"",IF(Start!$D$10="Avalanche",INDEX(Calc!FN$75:FN$89,Calc!$F$16),INDEX(Calc!FN$50:FN$64,Calc!$D$16))))</f>
        <v/>
      </c>
      <c r="AC62" s="20">
        <f>IF(AD62="","",N(AD61)*(1+Start!$E$25/12)-AD62)</f>
        <v/>
      </c>
      <c r="AD62" s="20">
        <f>IF(OR(OR(Calc!$B$4=0,$B62&gt;IF(Start!$D$10="Avalanche",Calc!$B$3,Calc!$B$2)),Calc!$B$17=0),"",IF(N(AD61)&lt;=0.005,"",IF(Start!$D$10="Avalanche",INDEX(Calc!FN$75:FN$89,Calc!$F$17),INDEX(Calc!FN$50:FN$64,Calc!$D$17))))</f>
        <v/>
      </c>
      <c r="AE62" s="20">
        <f>IF(AF62="","",N(AF61)*(1+Start!$E$26/12)-AF62)</f>
        <v/>
      </c>
      <c r="AF62" s="20">
        <f>IF(OR(OR(Calc!$B$4=0,$B62&gt;IF(Start!$D$10="Avalanche",Calc!$B$3,Calc!$B$2)),Calc!$B$18=0),"",IF(N(AF61)&lt;=0.005,"",IF(Start!$D$10="Avalanche",INDEX(Calc!FN$75:FN$89,Calc!$F$18),INDEX(Calc!FN$50:FN$64,Calc!$D$18))))</f>
        <v/>
      </c>
      <c r="AG62" s="20">
        <f>IF(AH62="","",N(AH61)*(1+Start!$E$27/12)-AH62)</f>
        <v/>
      </c>
      <c r="AH62" s="20">
        <f>IF(OR(OR(Calc!$B$4=0,$B62&gt;IF(Start!$D$10="Avalanche",Calc!$B$3,Calc!$B$2)),Calc!$B$19=0),"",IF(N(AH61)&lt;=0.005,"",IF(Start!$D$10="Avalanche",INDEX(Calc!FN$75:FN$89,Calc!$F$19),INDEX(Calc!FN$50:FN$64,Calc!$D$19))))</f>
        <v/>
      </c>
      <c r="AI62" s="20">
        <f>IF(AJ62="","",N(AJ61)*(1+Start!$E$28/12)-AJ62)</f>
        <v/>
      </c>
      <c r="AJ62" s="20">
        <f>IF(OR(OR(Calc!$B$4=0,$B62&gt;IF(Start!$D$10="Avalanche",Calc!$B$3,Calc!$B$2)),Calc!$B$20=0),"",IF(N(AJ61)&lt;=0.005,"",IF(Start!$D$10="Avalanche",INDEX(Calc!FN$75:FN$89,Calc!$F$20),INDEX(Calc!FN$50:FN$64,Calc!$D$20))))</f>
        <v/>
      </c>
    </row>
    <row r="63">
      <c r="B63" s="17" t="n">
        <v>57</v>
      </c>
      <c r="C63" s="19">
        <f>IF(Calc!$B$4=0,"",EDATE(Start!$D$11,56))</f>
        <v/>
      </c>
      <c r="D63" s="20">
        <f>IF(OR(Calc!$B$4=0,$B63&gt;IF(Start!$D$10="Avalanche",Calc!$B$3,Calc!$B$2)),"",SUM(G63,I63,K63,M63,O63,Q63,S63,U63,W63,Y63,AA63,AC63,AE63,AG63,AI63))</f>
        <v/>
      </c>
      <c r="E63" s="20">
        <f>IF(OR(Calc!$B$4=0,$B63&gt;IF(Start!$D$10="Avalanche",Calc!$B$3,Calc!$B$2)),"",IF(Start!$D$10="Avalanche",Calc!FO$72,Calc!FO$47))</f>
        <v/>
      </c>
      <c r="F63" s="21">
        <f>IF(Calc!$B$4=0,"",IF($B63&gt;IF(Start!$D$10="Avalanche",Calc!$B$3,Calc!$B$2),NA(),SUM(H63,J63,L63,N63,P63,R63,T63,V63,X63,Z63,AB63,AD63,AF63,AH63,AJ63)))</f>
        <v/>
      </c>
      <c r="G63" s="20">
        <f>IF(H63="","",N(H62)*(1+Start!$E$14/12)-H63)</f>
        <v/>
      </c>
      <c r="H63" s="20">
        <f>IF(OR(OR(Calc!$B$4=0,$B63&gt;IF(Start!$D$10="Avalanche",Calc!$B$3,Calc!$B$2)),Calc!$B$6=0),"",IF(N(H62)&lt;=0.005,"",IF(Start!$D$10="Avalanche",INDEX(Calc!FQ$75:FQ$89,Calc!$F$6),INDEX(Calc!FQ$50:FQ$64,Calc!$D$6))))</f>
        <v/>
      </c>
      <c r="I63" s="20">
        <f>IF(J63="","",N(J62)*(1+Start!$E$15/12)-J63)</f>
        <v/>
      </c>
      <c r="J63" s="20">
        <f>IF(OR(OR(Calc!$B$4=0,$B63&gt;IF(Start!$D$10="Avalanche",Calc!$B$3,Calc!$B$2)),Calc!$B$7=0),"",IF(N(J62)&lt;=0.005,"",IF(Start!$D$10="Avalanche",INDEX(Calc!FQ$75:FQ$89,Calc!$F$7),INDEX(Calc!FQ$50:FQ$64,Calc!$D$7))))</f>
        <v/>
      </c>
      <c r="K63" s="20">
        <f>IF(L63="","",N(L62)*(1+Start!$E$16/12)-L63)</f>
        <v/>
      </c>
      <c r="L63" s="20">
        <f>IF(OR(OR(Calc!$B$4=0,$B63&gt;IF(Start!$D$10="Avalanche",Calc!$B$3,Calc!$B$2)),Calc!$B$8=0),"",IF(N(L62)&lt;=0.005,"",IF(Start!$D$10="Avalanche",INDEX(Calc!FQ$75:FQ$89,Calc!$F$8),INDEX(Calc!FQ$50:FQ$64,Calc!$D$8))))</f>
        <v/>
      </c>
      <c r="M63" s="20">
        <f>IF(N63="","",N(N62)*(1+Start!$E$17/12)-N63)</f>
        <v/>
      </c>
      <c r="N63" s="20">
        <f>IF(OR(OR(Calc!$B$4=0,$B63&gt;IF(Start!$D$10="Avalanche",Calc!$B$3,Calc!$B$2)),Calc!$B$9=0),"",IF(N(N62)&lt;=0.005,"",IF(Start!$D$10="Avalanche",INDEX(Calc!FQ$75:FQ$89,Calc!$F$9),INDEX(Calc!FQ$50:FQ$64,Calc!$D$9))))</f>
        <v/>
      </c>
      <c r="O63" s="20">
        <f>IF(P63="","",N(P62)*(1+Start!$E$18/12)-P63)</f>
        <v/>
      </c>
      <c r="P63" s="20">
        <f>IF(OR(OR(Calc!$B$4=0,$B63&gt;IF(Start!$D$10="Avalanche",Calc!$B$3,Calc!$B$2)),Calc!$B$10=0),"",IF(N(P62)&lt;=0.005,"",IF(Start!$D$10="Avalanche",INDEX(Calc!FQ$75:FQ$89,Calc!$F$10),INDEX(Calc!FQ$50:FQ$64,Calc!$D$10))))</f>
        <v/>
      </c>
      <c r="Q63" s="20">
        <f>IF(R63="","",N(R62)*(1+Start!$E$19/12)-R63)</f>
        <v/>
      </c>
      <c r="R63" s="20">
        <f>IF(OR(OR(Calc!$B$4=0,$B63&gt;IF(Start!$D$10="Avalanche",Calc!$B$3,Calc!$B$2)),Calc!$B$11=0),"",IF(N(R62)&lt;=0.005,"",IF(Start!$D$10="Avalanche",INDEX(Calc!FQ$75:FQ$89,Calc!$F$11),INDEX(Calc!FQ$50:FQ$64,Calc!$D$11))))</f>
        <v/>
      </c>
      <c r="S63" s="20">
        <f>IF(T63="","",N(T62)*(1+Start!$E$20/12)-T63)</f>
        <v/>
      </c>
      <c r="T63" s="20">
        <f>IF(OR(OR(Calc!$B$4=0,$B63&gt;IF(Start!$D$10="Avalanche",Calc!$B$3,Calc!$B$2)),Calc!$B$12=0),"",IF(N(T62)&lt;=0.005,"",IF(Start!$D$10="Avalanche",INDEX(Calc!FQ$75:FQ$89,Calc!$F$12),INDEX(Calc!FQ$50:FQ$64,Calc!$D$12))))</f>
        <v/>
      </c>
      <c r="U63" s="20">
        <f>IF(V63="","",N(V62)*(1+Start!$E$21/12)-V63)</f>
        <v/>
      </c>
      <c r="V63" s="20">
        <f>IF(OR(OR(Calc!$B$4=0,$B63&gt;IF(Start!$D$10="Avalanche",Calc!$B$3,Calc!$B$2)),Calc!$B$13=0),"",IF(N(V62)&lt;=0.005,"",IF(Start!$D$10="Avalanche",INDEX(Calc!FQ$75:FQ$89,Calc!$F$13),INDEX(Calc!FQ$50:FQ$64,Calc!$D$13))))</f>
        <v/>
      </c>
      <c r="W63" s="20">
        <f>IF(X63="","",N(X62)*(1+Start!$E$22/12)-X63)</f>
        <v/>
      </c>
      <c r="X63" s="20">
        <f>IF(OR(OR(Calc!$B$4=0,$B63&gt;IF(Start!$D$10="Avalanche",Calc!$B$3,Calc!$B$2)),Calc!$B$14=0),"",IF(N(X62)&lt;=0.005,"",IF(Start!$D$10="Avalanche",INDEX(Calc!FQ$75:FQ$89,Calc!$F$14),INDEX(Calc!FQ$50:FQ$64,Calc!$D$14))))</f>
        <v/>
      </c>
      <c r="Y63" s="20">
        <f>IF(Z63="","",N(Z62)*(1+Start!$E$23/12)-Z63)</f>
        <v/>
      </c>
      <c r="Z63" s="20">
        <f>IF(OR(OR(Calc!$B$4=0,$B63&gt;IF(Start!$D$10="Avalanche",Calc!$B$3,Calc!$B$2)),Calc!$B$15=0),"",IF(N(Z62)&lt;=0.005,"",IF(Start!$D$10="Avalanche",INDEX(Calc!FQ$75:FQ$89,Calc!$F$15),INDEX(Calc!FQ$50:FQ$64,Calc!$D$15))))</f>
        <v/>
      </c>
      <c r="AA63" s="20">
        <f>IF(AB63="","",N(AB62)*(1+Start!$E$24/12)-AB63)</f>
        <v/>
      </c>
      <c r="AB63" s="20">
        <f>IF(OR(OR(Calc!$B$4=0,$B63&gt;IF(Start!$D$10="Avalanche",Calc!$B$3,Calc!$B$2)),Calc!$B$16=0),"",IF(N(AB62)&lt;=0.005,"",IF(Start!$D$10="Avalanche",INDEX(Calc!FQ$75:FQ$89,Calc!$F$16),INDEX(Calc!FQ$50:FQ$64,Calc!$D$16))))</f>
        <v/>
      </c>
      <c r="AC63" s="20">
        <f>IF(AD63="","",N(AD62)*(1+Start!$E$25/12)-AD63)</f>
        <v/>
      </c>
      <c r="AD63" s="20">
        <f>IF(OR(OR(Calc!$B$4=0,$B63&gt;IF(Start!$D$10="Avalanche",Calc!$B$3,Calc!$B$2)),Calc!$B$17=0),"",IF(N(AD62)&lt;=0.005,"",IF(Start!$D$10="Avalanche",INDEX(Calc!FQ$75:FQ$89,Calc!$F$17),INDEX(Calc!FQ$50:FQ$64,Calc!$D$17))))</f>
        <v/>
      </c>
      <c r="AE63" s="20">
        <f>IF(AF63="","",N(AF62)*(1+Start!$E$26/12)-AF63)</f>
        <v/>
      </c>
      <c r="AF63" s="20">
        <f>IF(OR(OR(Calc!$B$4=0,$B63&gt;IF(Start!$D$10="Avalanche",Calc!$B$3,Calc!$B$2)),Calc!$B$18=0),"",IF(N(AF62)&lt;=0.005,"",IF(Start!$D$10="Avalanche",INDEX(Calc!FQ$75:FQ$89,Calc!$F$18),INDEX(Calc!FQ$50:FQ$64,Calc!$D$18))))</f>
        <v/>
      </c>
      <c r="AG63" s="20">
        <f>IF(AH63="","",N(AH62)*(1+Start!$E$27/12)-AH63)</f>
        <v/>
      </c>
      <c r="AH63" s="20">
        <f>IF(OR(OR(Calc!$B$4=0,$B63&gt;IF(Start!$D$10="Avalanche",Calc!$B$3,Calc!$B$2)),Calc!$B$19=0),"",IF(N(AH62)&lt;=0.005,"",IF(Start!$D$10="Avalanche",INDEX(Calc!FQ$75:FQ$89,Calc!$F$19),INDEX(Calc!FQ$50:FQ$64,Calc!$D$19))))</f>
        <v/>
      </c>
      <c r="AI63" s="20">
        <f>IF(AJ63="","",N(AJ62)*(1+Start!$E$28/12)-AJ63)</f>
        <v/>
      </c>
      <c r="AJ63" s="20">
        <f>IF(OR(OR(Calc!$B$4=0,$B63&gt;IF(Start!$D$10="Avalanche",Calc!$B$3,Calc!$B$2)),Calc!$B$20=0),"",IF(N(AJ62)&lt;=0.005,"",IF(Start!$D$10="Avalanche",INDEX(Calc!FQ$75:FQ$89,Calc!$F$20),INDEX(Calc!FQ$50:FQ$64,Calc!$D$20))))</f>
        <v/>
      </c>
    </row>
    <row r="64">
      <c r="B64" s="17" t="n">
        <v>58</v>
      </c>
      <c r="C64" s="19">
        <f>IF(Calc!$B$4=0,"",EDATE(Start!$D$11,57))</f>
        <v/>
      </c>
      <c r="D64" s="20">
        <f>IF(OR(Calc!$B$4=0,$B64&gt;IF(Start!$D$10="Avalanche",Calc!$B$3,Calc!$B$2)),"",SUM(G64,I64,K64,M64,O64,Q64,S64,U64,W64,Y64,AA64,AC64,AE64,AG64,AI64))</f>
        <v/>
      </c>
      <c r="E64" s="20">
        <f>IF(OR(Calc!$B$4=0,$B64&gt;IF(Start!$D$10="Avalanche",Calc!$B$3,Calc!$B$2)),"",IF(Start!$D$10="Avalanche",Calc!FR$72,Calc!FR$47))</f>
        <v/>
      </c>
      <c r="F64" s="21">
        <f>IF(Calc!$B$4=0,"",IF($B64&gt;IF(Start!$D$10="Avalanche",Calc!$B$3,Calc!$B$2),NA(),SUM(H64,J64,L64,N64,P64,R64,T64,V64,X64,Z64,AB64,AD64,AF64,AH64,AJ64)))</f>
        <v/>
      </c>
      <c r="G64" s="20">
        <f>IF(H64="","",N(H63)*(1+Start!$E$14/12)-H64)</f>
        <v/>
      </c>
      <c r="H64" s="20">
        <f>IF(OR(OR(Calc!$B$4=0,$B64&gt;IF(Start!$D$10="Avalanche",Calc!$B$3,Calc!$B$2)),Calc!$B$6=0),"",IF(N(H63)&lt;=0.005,"",IF(Start!$D$10="Avalanche",INDEX(Calc!FT$75:FT$89,Calc!$F$6),INDEX(Calc!FT$50:FT$64,Calc!$D$6))))</f>
        <v/>
      </c>
      <c r="I64" s="20">
        <f>IF(J64="","",N(J63)*(1+Start!$E$15/12)-J64)</f>
        <v/>
      </c>
      <c r="J64" s="20">
        <f>IF(OR(OR(Calc!$B$4=0,$B64&gt;IF(Start!$D$10="Avalanche",Calc!$B$3,Calc!$B$2)),Calc!$B$7=0),"",IF(N(J63)&lt;=0.005,"",IF(Start!$D$10="Avalanche",INDEX(Calc!FT$75:FT$89,Calc!$F$7),INDEX(Calc!FT$50:FT$64,Calc!$D$7))))</f>
        <v/>
      </c>
      <c r="K64" s="20">
        <f>IF(L64="","",N(L63)*(1+Start!$E$16/12)-L64)</f>
        <v/>
      </c>
      <c r="L64" s="20">
        <f>IF(OR(OR(Calc!$B$4=0,$B64&gt;IF(Start!$D$10="Avalanche",Calc!$B$3,Calc!$B$2)),Calc!$B$8=0),"",IF(N(L63)&lt;=0.005,"",IF(Start!$D$10="Avalanche",INDEX(Calc!FT$75:FT$89,Calc!$F$8),INDEX(Calc!FT$50:FT$64,Calc!$D$8))))</f>
        <v/>
      </c>
      <c r="M64" s="20">
        <f>IF(N64="","",N(N63)*(1+Start!$E$17/12)-N64)</f>
        <v/>
      </c>
      <c r="N64" s="20">
        <f>IF(OR(OR(Calc!$B$4=0,$B64&gt;IF(Start!$D$10="Avalanche",Calc!$B$3,Calc!$B$2)),Calc!$B$9=0),"",IF(N(N63)&lt;=0.005,"",IF(Start!$D$10="Avalanche",INDEX(Calc!FT$75:FT$89,Calc!$F$9),INDEX(Calc!FT$50:FT$64,Calc!$D$9))))</f>
        <v/>
      </c>
      <c r="O64" s="20">
        <f>IF(P64="","",N(P63)*(1+Start!$E$18/12)-P64)</f>
        <v/>
      </c>
      <c r="P64" s="20">
        <f>IF(OR(OR(Calc!$B$4=0,$B64&gt;IF(Start!$D$10="Avalanche",Calc!$B$3,Calc!$B$2)),Calc!$B$10=0),"",IF(N(P63)&lt;=0.005,"",IF(Start!$D$10="Avalanche",INDEX(Calc!FT$75:FT$89,Calc!$F$10),INDEX(Calc!FT$50:FT$64,Calc!$D$10))))</f>
        <v/>
      </c>
      <c r="Q64" s="20">
        <f>IF(R64="","",N(R63)*(1+Start!$E$19/12)-R64)</f>
        <v/>
      </c>
      <c r="R64" s="20">
        <f>IF(OR(OR(Calc!$B$4=0,$B64&gt;IF(Start!$D$10="Avalanche",Calc!$B$3,Calc!$B$2)),Calc!$B$11=0),"",IF(N(R63)&lt;=0.005,"",IF(Start!$D$10="Avalanche",INDEX(Calc!FT$75:FT$89,Calc!$F$11),INDEX(Calc!FT$50:FT$64,Calc!$D$11))))</f>
        <v/>
      </c>
      <c r="S64" s="20">
        <f>IF(T64="","",N(T63)*(1+Start!$E$20/12)-T64)</f>
        <v/>
      </c>
      <c r="T64" s="20">
        <f>IF(OR(OR(Calc!$B$4=0,$B64&gt;IF(Start!$D$10="Avalanche",Calc!$B$3,Calc!$B$2)),Calc!$B$12=0),"",IF(N(T63)&lt;=0.005,"",IF(Start!$D$10="Avalanche",INDEX(Calc!FT$75:FT$89,Calc!$F$12),INDEX(Calc!FT$50:FT$64,Calc!$D$12))))</f>
        <v/>
      </c>
      <c r="U64" s="20">
        <f>IF(V64="","",N(V63)*(1+Start!$E$21/12)-V64)</f>
        <v/>
      </c>
      <c r="V64" s="20">
        <f>IF(OR(OR(Calc!$B$4=0,$B64&gt;IF(Start!$D$10="Avalanche",Calc!$B$3,Calc!$B$2)),Calc!$B$13=0),"",IF(N(V63)&lt;=0.005,"",IF(Start!$D$10="Avalanche",INDEX(Calc!FT$75:FT$89,Calc!$F$13),INDEX(Calc!FT$50:FT$64,Calc!$D$13))))</f>
        <v/>
      </c>
      <c r="W64" s="20">
        <f>IF(X64="","",N(X63)*(1+Start!$E$22/12)-X64)</f>
        <v/>
      </c>
      <c r="X64" s="20">
        <f>IF(OR(OR(Calc!$B$4=0,$B64&gt;IF(Start!$D$10="Avalanche",Calc!$B$3,Calc!$B$2)),Calc!$B$14=0),"",IF(N(X63)&lt;=0.005,"",IF(Start!$D$10="Avalanche",INDEX(Calc!FT$75:FT$89,Calc!$F$14),INDEX(Calc!FT$50:FT$64,Calc!$D$14))))</f>
        <v/>
      </c>
      <c r="Y64" s="20">
        <f>IF(Z64="","",N(Z63)*(1+Start!$E$23/12)-Z64)</f>
        <v/>
      </c>
      <c r="Z64" s="20">
        <f>IF(OR(OR(Calc!$B$4=0,$B64&gt;IF(Start!$D$10="Avalanche",Calc!$B$3,Calc!$B$2)),Calc!$B$15=0),"",IF(N(Z63)&lt;=0.005,"",IF(Start!$D$10="Avalanche",INDEX(Calc!FT$75:FT$89,Calc!$F$15),INDEX(Calc!FT$50:FT$64,Calc!$D$15))))</f>
        <v/>
      </c>
      <c r="AA64" s="20">
        <f>IF(AB64="","",N(AB63)*(1+Start!$E$24/12)-AB64)</f>
        <v/>
      </c>
      <c r="AB64" s="20">
        <f>IF(OR(OR(Calc!$B$4=0,$B64&gt;IF(Start!$D$10="Avalanche",Calc!$B$3,Calc!$B$2)),Calc!$B$16=0),"",IF(N(AB63)&lt;=0.005,"",IF(Start!$D$10="Avalanche",INDEX(Calc!FT$75:FT$89,Calc!$F$16),INDEX(Calc!FT$50:FT$64,Calc!$D$16))))</f>
        <v/>
      </c>
      <c r="AC64" s="20">
        <f>IF(AD64="","",N(AD63)*(1+Start!$E$25/12)-AD64)</f>
        <v/>
      </c>
      <c r="AD64" s="20">
        <f>IF(OR(OR(Calc!$B$4=0,$B64&gt;IF(Start!$D$10="Avalanche",Calc!$B$3,Calc!$B$2)),Calc!$B$17=0),"",IF(N(AD63)&lt;=0.005,"",IF(Start!$D$10="Avalanche",INDEX(Calc!FT$75:FT$89,Calc!$F$17),INDEX(Calc!FT$50:FT$64,Calc!$D$17))))</f>
        <v/>
      </c>
      <c r="AE64" s="20">
        <f>IF(AF64="","",N(AF63)*(1+Start!$E$26/12)-AF64)</f>
        <v/>
      </c>
      <c r="AF64" s="20">
        <f>IF(OR(OR(Calc!$B$4=0,$B64&gt;IF(Start!$D$10="Avalanche",Calc!$B$3,Calc!$B$2)),Calc!$B$18=0),"",IF(N(AF63)&lt;=0.005,"",IF(Start!$D$10="Avalanche",INDEX(Calc!FT$75:FT$89,Calc!$F$18),INDEX(Calc!FT$50:FT$64,Calc!$D$18))))</f>
        <v/>
      </c>
      <c r="AG64" s="20">
        <f>IF(AH64="","",N(AH63)*(1+Start!$E$27/12)-AH64)</f>
        <v/>
      </c>
      <c r="AH64" s="20">
        <f>IF(OR(OR(Calc!$B$4=0,$B64&gt;IF(Start!$D$10="Avalanche",Calc!$B$3,Calc!$B$2)),Calc!$B$19=0),"",IF(N(AH63)&lt;=0.005,"",IF(Start!$D$10="Avalanche",INDEX(Calc!FT$75:FT$89,Calc!$F$19),INDEX(Calc!FT$50:FT$64,Calc!$D$19))))</f>
        <v/>
      </c>
      <c r="AI64" s="20">
        <f>IF(AJ64="","",N(AJ63)*(1+Start!$E$28/12)-AJ64)</f>
        <v/>
      </c>
      <c r="AJ64" s="20">
        <f>IF(OR(OR(Calc!$B$4=0,$B64&gt;IF(Start!$D$10="Avalanche",Calc!$B$3,Calc!$B$2)),Calc!$B$20=0),"",IF(N(AJ63)&lt;=0.005,"",IF(Start!$D$10="Avalanche",INDEX(Calc!FT$75:FT$89,Calc!$F$20),INDEX(Calc!FT$50:FT$64,Calc!$D$20))))</f>
        <v/>
      </c>
    </row>
    <row r="65">
      <c r="B65" s="17" t="n">
        <v>59</v>
      </c>
      <c r="C65" s="19">
        <f>IF(Calc!$B$4=0,"",EDATE(Start!$D$11,58))</f>
        <v/>
      </c>
      <c r="D65" s="20">
        <f>IF(OR(Calc!$B$4=0,$B65&gt;IF(Start!$D$10="Avalanche",Calc!$B$3,Calc!$B$2)),"",SUM(G65,I65,K65,M65,O65,Q65,S65,U65,W65,Y65,AA65,AC65,AE65,AG65,AI65))</f>
        <v/>
      </c>
      <c r="E65" s="20">
        <f>IF(OR(Calc!$B$4=0,$B65&gt;IF(Start!$D$10="Avalanche",Calc!$B$3,Calc!$B$2)),"",IF(Start!$D$10="Avalanche",Calc!FU$72,Calc!FU$47))</f>
        <v/>
      </c>
      <c r="F65" s="21">
        <f>IF(Calc!$B$4=0,"",IF($B65&gt;IF(Start!$D$10="Avalanche",Calc!$B$3,Calc!$B$2),NA(),SUM(H65,J65,L65,N65,P65,R65,T65,V65,X65,Z65,AB65,AD65,AF65,AH65,AJ65)))</f>
        <v/>
      </c>
      <c r="G65" s="20">
        <f>IF(H65="","",N(H64)*(1+Start!$E$14/12)-H65)</f>
        <v/>
      </c>
      <c r="H65" s="20">
        <f>IF(OR(OR(Calc!$B$4=0,$B65&gt;IF(Start!$D$10="Avalanche",Calc!$B$3,Calc!$B$2)),Calc!$B$6=0),"",IF(N(H64)&lt;=0.005,"",IF(Start!$D$10="Avalanche",INDEX(Calc!FW$75:FW$89,Calc!$F$6),INDEX(Calc!FW$50:FW$64,Calc!$D$6))))</f>
        <v/>
      </c>
      <c r="I65" s="20">
        <f>IF(J65="","",N(J64)*(1+Start!$E$15/12)-J65)</f>
        <v/>
      </c>
      <c r="J65" s="20">
        <f>IF(OR(OR(Calc!$B$4=0,$B65&gt;IF(Start!$D$10="Avalanche",Calc!$B$3,Calc!$B$2)),Calc!$B$7=0),"",IF(N(J64)&lt;=0.005,"",IF(Start!$D$10="Avalanche",INDEX(Calc!FW$75:FW$89,Calc!$F$7),INDEX(Calc!FW$50:FW$64,Calc!$D$7))))</f>
        <v/>
      </c>
      <c r="K65" s="20">
        <f>IF(L65="","",N(L64)*(1+Start!$E$16/12)-L65)</f>
        <v/>
      </c>
      <c r="L65" s="20">
        <f>IF(OR(OR(Calc!$B$4=0,$B65&gt;IF(Start!$D$10="Avalanche",Calc!$B$3,Calc!$B$2)),Calc!$B$8=0),"",IF(N(L64)&lt;=0.005,"",IF(Start!$D$10="Avalanche",INDEX(Calc!FW$75:FW$89,Calc!$F$8),INDEX(Calc!FW$50:FW$64,Calc!$D$8))))</f>
        <v/>
      </c>
      <c r="M65" s="20">
        <f>IF(N65="","",N(N64)*(1+Start!$E$17/12)-N65)</f>
        <v/>
      </c>
      <c r="N65" s="20">
        <f>IF(OR(OR(Calc!$B$4=0,$B65&gt;IF(Start!$D$10="Avalanche",Calc!$B$3,Calc!$B$2)),Calc!$B$9=0),"",IF(N(N64)&lt;=0.005,"",IF(Start!$D$10="Avalanche",INDEX(Calc!FW$75:FW$89,Calc!$F$9),INDEX(Calc!FW$50:FW$64,Calc!$D$9))))</f>
        <v/>
      </c>
      <c r="O65" s="20">
        <f>IF(P65="","",N(P64)*(1+Start!$E$18/12)-P65)</f>
        <v/>
      </c>
      <c r="P65" s="20">
        <f>IF(OR(OR(Calc!$B$4=0,$B65&gt;IF(Start!$D$10="Avalanche",Calc!$B$3,Calc!$B$2)),Calc!$B$10=0),"",IF(N(P64)&lt;=0.005,"",IF(Start!$D$10="Avalanche",INDEX(Calc!FW$75:FW$89,Calc!$F$10),INDEX(Calc!FW$50:FW$64,Calc!$D$10))))</f>
        <v/>
      </c>
      <c r="Q65" s="20">
        <f>IF(R65="","",N(R64)*(1+Start!$E$19/12)-R65)</f>
        <v/>
      </c>
      <c r="R65" s="20">
        <f>IF(OR(OR(Calc!$B$4=0,$B65&gt;IF(Start!$D$10="Avalanche",Calc!$B$3,Calc!$B$2)),Calc!$B$11=0),"",IF(N(R64)&lt;=0.005,"",IF(Start!$D$10="Avalanche",INDEX(Calc!FW$75:FW$89,Calc!$F$11),INDEX(Calc!FW$50:FW$64,Calc!$D$11))))</f>
        <v/>
      </c>
      <c r="S65" s="20">
        <f>IF(T65="","",N(T64)*(1+Start!$E$20/12)-T65)</f>
        <v/>
      </c>
      <c r="T65" s="20">
        <f>IF(OR(OR(Calc!$B$4=0,$B65&gt;IF(Start!$D$10="Avalanche",Calc!$B$3,Calc!$B$2)),Calc!$B$12=0),"",IF(N(T64)&lt;=0.005,"",IF(Start!$D$10="Avalanche",INDEX(Calc!FW$75:FW$89,Calc!$F$12),INDEX(Calc!FW$50:FW$64,Calc!$D$12))))</f>
        <v/>
      </c>
      <c r="U65" s="20">
        <f>IF(V65="","",N(V64)*(1+Start!$E$21/12)-V65)</f>
        <v/>
      </c>
      <c r="V65" s="20">
        <f>IF(OR(OR(Calc!$B$4=0,$B65&gt;IF(Start!$D$10="Avalanche",Calc!$B$3,Calc!$B$2)),Calc!$B$13=0),"",IF(N(V64)&lt;=0.005,"",IF(Start!$D$10="Avalanche",INDEX(Calc!FW$75:FW$89,Calc!$F$13),INDEX(Calc!FW$50:FW$64,Calc!$D$13))))</f>
        <v/>
      </c>
      <c r="W65" s="20">
        <f>IF(X65="","",N(X64)*(1+Start!$E$22/12)-X65)</f>
        <v/>
      </c>
      <c r="X65" s="20">
        <f>IF(OR(OR(Calc!$B$4=0,$B65&gt;IF(Start!$D$10="Avalanche",Calc!$B$3,Calc!$B$2)),Calc!$B$14=0),"",IF(N(X64)&lt;=0.005,"",IF(Start!$D$10="Avalanche",INDEX(Calc!FW$75:FW$89,Calc!$F$14),INDEX(Calc!FW$50:FW$64,Calc!$D$14))))</f>
        <v/>
      </c>
      <c r="Y65" s="20">
        <f>IF(Z65="","",N(Z64)*(1+Start!$E$23/12)-Z65)</f>
        <v/>
      </c>
      <c r="Z65" s="20">
        <f>IF(OR(OR(Calc!$B$4=0,$B65&gt;IF(Start!$D$10="Avalanche",Calc!$B$3,Calc!$B$2)),Calc!$B$15=0),"",IF(N(Z64)&lt;=0.005,"",IF(Start!$D$10="Avalanche",INDEX(Calc!FW$75:FW$89,Calc!$F$15),INDEX(Calc!FW$50:FW$64,Calc!$D$15))))</f>
        <v/>
      </c>
      <c r="AA65" s="20">
        <f>IF(AB65="","",N(AB64)*(1+Start!$E$24/12)-AB65)</f>
        <v/>
      </c>
      <c r="AB65" s="20">
        <f>IF(OR(OR(Calc!$B$4=0,$B65&gt;IF(Start!$D$10="Avalanche",Calc!$B$3,Calc!$B$2)),Calc!$B$16=0),"",IF(N(AB64)&lt;=0.005,"",IF(Start!$D$10="Avalanche",INDEX(Calc!FW$75:FW$89,Calc!$F$16),INDEX(Calc!FW$50:FW$64,Calc!$D$16))))</f>
        <v/>
      </c>
      <c r="AC65" s="20">
        <f>IF(AD65="","",N(AD64)*(1+Start!$E$25/12)-AD65)</f>
        <v/>
      </c>
      <c r="AD65" s="20">
        <f>IF(OR(OR(Calc!$B$4=0,$B65&gt;IF(Start!$D$10="Avalanche",Calc!$B$3,Calc!$B$2)),Calc!$B$17=0),"",IF(N(AD64)&lt;=0.005,"",IF(Start!$D$10="Avalanche",INDEX(Calc!FW$75:FW$89,Calc!$F$17),INDEX(Calc!FW$50:FW$64,Calc!$D$17))))</f>
        <v/>
      </c>
      <c r="AE65" s="20">
        <f>IF(AF65="","",N(AF64)*(1+Start!$E$26/12)-AF65)</f>
        <v/>
      </c>
      <c r="AF65" s="20">
        <f>IF(OR(OR(Calc!$B$4=0,$B65&gt;IF(Start!$D$10="Avalanche",Calc!$B$3,Calc!$B$2)),Calc!$B$18=0),"",IF(N(AF64)&lt;=0.005,"",IF(Start!$D$10="Avalanche",INDEX(Calc!FW$75:FW$89,Calc!$F$18),INDEX(Calc!FW$50:FW$64,Calc!$D$18))))</f>
        <v/>
      </c>
      <c r="AG65" s="20">
        <f>IF(AH65="","",N(AH64)*(1+Start!$E$27/12)-AH65)</f>
        <v/>
      </c>
      <c r="AH65" s="20">
        <f>IF(OR(OR(Calc!$B$4=0,$B65&gt;IF(Start!$D$10="Avalanche",Calc!$B$3,Calc!$B$2)),Calc!$B$19=0),"",IF(N(AH64)&lt;=0.005,"",IF(Start!$D$10="Avalanche",INDEX(Calc!FW$75:FW$89,Calc!$F$19),INDEX(Calc!FW$50:FW$64,Calc!$D$19))))</f>
        <v/>
      </c>
      <c r="AI65" s="20">
        <f>IF(AJ65="","",N(AJ64)*(1+Start!$E$28/12)-AJ65)</f>
        <v/>
      </c>
      <c r="AJ65" s="20">
        <f>IF(OR(OR(Calc!$B$4=0,$B65&gt;IF(Start!$D$10="Avalanche",Calc!$B$3,Calc!$B$2)),Calc!$B$20=0),"",IF(N(AJ64)&lt;=0.005,"",IF(Start!$D$10="Avalanche",INDEX(Calc!FW$75:FW$89,Calc!$F$20),INDEX(Calc!FW$50:FW$64,Calc!$D$20))))</f>
        <v/>
      </c>
    </row>
    <row r="66">
      <c r="B66" s="17" t="n">
        <v>60</v>
      </c>
      <c r="C66" s="19">
        <f>IF(Calc!$B$4=0,"",EDATE(Start!$D$11,59))</f>
        <v/>
      </c>
      <c r="D66" s="20">
        <f>IF(OR(Calc!$B$4=0,$B66&gt;IF(Start!$D$10="Avalanche",Calc!$B$3,Calc!$B$2)),"",SUM(G66,I66,K66,M66,O66,Q66,S66,U66,W66,Y66,AA66,AC66,AE66,AG66,AI66))</f>
        <v/>
      </c>
      <c r="E66" s="20">
        <f>IF(OR(Calc!$B$4=0,$B66&gt;IF(Start!$D$10="Avalanche",Calc!$B$3,Calc!$B$2)),"",IF(Start!$D$10="Avalanche",Calc!FX$72,Calc!FX$47))</f>
        <v/>
      </c>
      <c r="F66" s="21">
        <f>IF(Calc!$B$4=0,"",IF($B66&gt;IF(Start!$D$10="Avalanche",Calc!$B$3,Calc!$B$2),NA(),SUM(H66,J66,L66,N66,P66,R66,T66,V66,X66,Z66,AB66,AD66,AF66,AH66,AJ66)))</f>
        <v/>
      </c>
      <c r="G66" s="20">
        <f>IF(H66="","",N(H65)*(1+Start!$E$14/12)-H66)</f>
        <v/>
      </c>
      <c r="H66" s="20">
        <f>IF(OR(OR(Calc!$B$4=0,$B66&gt;IF(Start!$D$10="Avalanche",Calc!$B$3,Calc!$B$2)),Calc!$B$6=0),"",IF(N(H65)&lt;=0.005,"",IF(Start!$D$10="Avalanche",INDEX(Calc!FZ$75:FZ$89,Calc!$F$6),INDEX(Calc!FZ$50:FZ$64,Calc!$D$6))))</f>
        <v/>
      </c>
      <c r="I66" s="20">
        <f>IF(J66="","",N(J65)*(1+Start!$E$15/12)-J66)</f>
        <v/>
      </c>
      <c r="J66" s="20">
        <f>IF(OR(OR(Calc!$B$4=0,$B66&gt;IF(Start!$D$10="Avalanche",Calc!$B$3,Calc!$B$2)),Calc!$B$7=0),"",IF(N(J65)&lt;=0.005,"",IF(Start!$D$10="Avalanche",INDEX(Calc!FZ$75:FZ$89,Calc!$F$7),INDEX(Calc!FZ$50:FZ$64,Calc!$D$7))))</f>
        <v/>
      </c>
      <c r="K66" s="20">
        <f>IF(L66="","",N(L65)*(1+Start!$E$16/12)-L66)</f>
        <v/>
      </c>
      <c r="L66" s="20">
        <f>IF(OR(OR(Calc!$B$4=0,$B66&gt;IF(Start!$D$10="Avalanche",Calc!$B$3,Calc!$B$2)),Calc!$B$8=0),"",IF(N(L65)&lt;=0.005,"",IF(Start!$D$10="Avalanche",INDEX(Calc!FZ$75:FZ$89,Calc!$F$8),INDEX(Calc!FZ$50:FZ$64,Calc!$D$8))))</f>
        <v/>
      </c>
      <c r="M66" s="20">
        <f>IF(N66="","",N(N65)*(1+Start!$E$17/12)-N66)</f>
        <v/>
      </c>
      <c r="N66" s="20">
        <f>IF(OR(OR(Calc!$B$4=0,$B66&gt;IF(Start!$D$10="Avalanche",Calc!$B$3,Calc!$B$2)),Calc!$B$9=0),"",IF(N(N65)&lt;=0.005,"",IF(Start!$D$10="Avalanche",INDEX(Calc!FZ$75:FZ$89,Calc!$F$9),INDEX(Calc!FZ$50:FZ$64,Calc!$D$9))))</f>
        <v/>
      </c>
      <c r="O66" s="20">
        <f>IF(P66="","",N(P65)*(1+Start!$E$18/12)-P66)</f>
        <v/>
      </c>
      <c r="P66" s="20">
        <f>IF(OR(OR(Calc!$B$4=0,$B66&gt;IF(Start!$D$10="Avalanche",Calc!$B$3,Calc!$B$2)),Calc!$B$10=0),"",IF(N(P65)&lt;=0.005,"",IF(Start!$D$10="Avalanche",INDEX(Calc!FZ$75:FZ$89,Calc!$F$10),INDEX(Calc!FZ$50:FZ$64,Calc!$D$10))))</f>
        <v/>
      </c>
      <c r="Q66" s="20">
        <f>IF(R66="","",N(R65)*(1+Start!$E$19/12)-R66)</f>
        <v/>
      </c>
      <c r="R66" s="20">
        <f>IF(OR(OR(Calc!$B$4=0,$B66&gt;IF(Start!$D$10="Avalanche",Calc!$B$3,Calc!$B$2)),Calc!$B$11=0),"",IF(N(R65)&lt;=0.005,"",IF(Start!$D$10="Avalanche",INDEX(Calc!FZ$75:FZ$89,Calc!$F$11),INDEX(Calc!FZ$50:FZ$64,Calc!$D$11))))</f>
        <v/>
      </c>
      <c r="S66" s="20">
        <f>IF(T66="","",N(T65)*(1+Start!$E$20/12)-T66)</f>
        <v/>
      </c>
      <c r="T66" s="20">
        <f>IF(OR(OR(Calc!$B$4=0,$B66&gt;IF(Start!$D$10="Avalanche",Calc!$B$3,Calc!$B$2)),Calc!$B$12=0),"",IF(N(T65)&lt;=0.005,"",IF(Start!$D$10="Avalanche",INDEX(Calc!FZ$75:FZ$89,Calc!$F$12),INDEX(Calc!FZ$50:FZ$64,Calc!$D$12))))</f>
        <v/>
      </c>
      <c r="U66" s="20">
        <f>IF(V66="","",N(V65)*(1+Start!$E$21/12)-V66)</f>
        <v/>
      </c>
      <c r="V66" s="20">
        <f>IF(OR(OR(Calc!$B$4=0,$B66&gt;IF(Start!$D$10="Avalanche",Calc!$B$3,Calc!$B$2)),Calc!$B$13=0),"",IF(N(V65)&lt;=0.005,"",IF(Start!$D$10="Avalanche",INDEX(Calc!FZ$75:FZ$89,Calc!$F$13),INDEX(Calc!FZ$50:FZ$64,Calc!$D$13))))</f>
        <v/>
      </c>
      <c r="W66" s="20">
        <f>IF(X66="","",N(X65)*(1+Start!$E$22/12)-X66)</f>
        <v/>
      </c>
      <c r="X66" s="20">
        <f>IF(OR(OR(Calc!$B$4=0,$B66&gt;IF(Start!$D$10="Avalanche",Calc!$B$3,Calc!$B$2)),Calc!$B$14=0),"",IF(N(X65)&lt;=0.005,"",IF(Start!$D$10="Avalanche",INDEX(Calc!FZ$75:FZ$89,Calc!$F$14),INDEX(Calc!FZ$50:FZ$64,Calc!$D$14))))</f>
        <v/>
      </c>
      <c r="Y66" s="20">
        <f>IF(Z66="","",N(Z65)*(1+Start!$E$23/12)-Z66)</f>
        <v/>
      </c>
      <c r="Z66" s="20">
        <f>IF(OR(OR(Calc!$B$4=0,$B66&gt;IF(Start!$D$10="Avalanche",Calc!$B$3,Calc!$B$2)),Calc!$B$15=0),"",IF(N(Z65)&lt;=0.005,"",IF(Start!$D$10="Avalanche",INDEX(Calc!FZ$75:FZ$89,Calc!$F$15),INDEX(Calc!FZ$50:FZ$64,Calc!$D$15))))</f>
        <v/>
      </c>
      <c r="AA66" s="20">
        <f>IF(AB66="","",N(AB65)*(1+Start!$E$24/12)-AB66)</f>
        <v/>
      </c>
      <c r="AB66" s="20">
        <f>IF(OR(OR(Calc!$B$4=0,$B66&gt;IF(Start!$D$10="Avalanche",Calc!$B$3,Calc!$B$2)),Calc!$B$16=0),"",IF(N(AB65)&lt;=0.005,"",IF(Start!$D$10="Avalanche",INDEX(Calc!FZ$75:FZ$89,Calc!$F$16),INDEX(Calc!FZ$50:FZ$64,Calc!$D$16))))</f>
        <v/>
      </c>
      <c r="AC66" s="20">
        <f>IF(AD66="","",N(AD65)*(1+Start!$E$25/12)-AD66)</f>
        <v/>
      </c>
      <c r="AD66" s="20">
        <f>IF(OR(OR(Calc!$B$4=0,$B66&gt;IF(Start!$D$10="Avalanche",Calc!$B$3,Calc!$B$2)),Calc!$B$17=0),"",IF(N(AD65)&lt;=0.005,"",IF(Start!$D$10="Avalanche",INDEX(Calc!FZ$75:FZ$89,Calc!$F$17),INDEX(Calc!FZ$50:FZ$64,Calc!$D$17))))</f>
        <v/>
      </c>
      <c r="AE66" s="20">
        <f>IF(AF66="","",N(AF65)*(1+Start!$E$26/12)-AF66)</f>
        <v/>
      </c>
      <c r="AF66" s="20">
        <f>IF(OR(OR(Calc!$B$4=0,$B66&gt;IF(Start!$D$10="Avalanche",Calc!$B$3,Calc!$B$2)),Calc!$B$18=0),"",IF(N(AF65)&lt;=0.005,"",IF(Start!$D$10="Avalanche",INDEX(Calc!FZ$75:FZ$89,Calc!$F$18),INDEX(Calc!FZ$50:FZ$64,Calc!$D$18))))</f>
        <v/>
      </c>
      <c r="AG66" s="20">
        <f>IF(AH66="","",N(AH65)*(1+Start!$E$27/12)-AH66)</f>
        <v/>
      </c>
      <c r="AH66" s="20">
        <f>IF(OR(OR(Calc!$B$4=0,$B66&gt;IF(Start!$D$10="Avalanche",Calc!$B$3,Calc!$B$2)),Calc!$B$19=0),"",IF(N(AH65)&lt;=0.005,"",IF(Start!$D$10="Avalanche",INDEX(Calc!FZ$75:FZ$89,Calc!$F$19),INDEX(Calc!FZ$50:FZ$64,Calc!$D$19))))</f>
        <v/>
      </c>
      <c r="AI66" s="20">
        <f>IF(AJ66="","",N(AJ65)*(1+Start!$E$28/12)-AJ66)</f>
        <v/>
      </c>
      <c r="AJ66" s="20">
        <f>IF(OR(OR(Calc!$B$4=0,$B66&gt;IF(Start!$D$10="Avalanche",Calc!$B$3,Calc!$B$2)),Calc!$B$20=0),"",IF(N(AJ65)&lt;=0.005,"",IF(Start!$D$10="Avalanche",INDEX(Calc!FZ$75:FZ$89,Calc!$F$20),INDEX(Calc!FZ$50:FZ$64,Calc!$D$20))))</f>
        <v/>
      </c>
    </row>
    <row r="67">
      <c r="B67" s="17" t="n">
        <v>61</v>
      </c>
      <c r="C67" s="19">
        <f>IF(Calc!$B$4=0,"",EDATE(Start!$D$11,60))</f>
        <v/>
      </c>
      <c r="D67" s="20">
        <f>IF(OR(Calc!$B$4=0,$B67&gt;IF(Start!$D$10="Avalanche",Calc!$B$3,Calc!$B$2)),"",SUM(G67,I67,K67,M67,O67,Q67,S67,U67,W67,Y67,AA67,AC67,AE67,AG67,AI67))</f>
        <v/>
      </c>
      <c r="E67" s="20">
        <f>IF(OR(Calc!$B$4=0,$B67&gt;IF(Start!$D$10="Avalanche",Calc!$B$3,Calc!$B$2)),"",IF(Start!$D$10="Avalanche",Calc!GA$72,Calc!GA$47))</f>
        <v/>
      </c>
      <c r="F67" s="21">
        <f>IF(Calc!$B$4=0,"",IF($B67&gt;IF(Start!$D$10="Avalanche",Calc!$B$3,Calc!$B$2),NA(),SUM(H67,J67,L67,N67,P67,R67,T67,V67,X67,Z67,AB67,AD67,AF67,AH67,AJ67)))</f>
        <v/>
      </c>
      <c r="G67" s="20">
        <f>IF(H67="","",N(H66)*(1+Start!$E$14/12)-H67)</f>
        <v/>
      </c>
      <c r="H67" s="20">
        <f>IF(OR(OR(Calc!$B$4=0,$B67&gt;IF(Start!$D$10="Avalanche",Calc!$B$3,Calc!$B$2)),Calc!$B$6=0),"",IF(N(H66)&lt;=0.005,"",IF(Start!$D$10="Avalanche",INDEX(Calc!GC$75:GC$89,Calc!$F$6),INDEX(Calc!GC$50:GC$64,Calc!$D$6))))</f>
        <v/>
      </c>
      <c r="I67" s="20">
        <f>IF(J67="","",N(J66)*(1+Start!$E$15/12)-J67)</f>
        <v/>
      </c>
      <c r="J67" s="20">
        <f>IF(OR(OR(Calc!$B$4=0,$B67&gt;IF(Start!$D$10="Avalanche",Calc!$B$3,Calc!$B$2)),Calc!$B$7=0),"",IF(N(J66)&lt;=0.005,"",IF(Start!$D$10="Avalanche",INDEX(Calc!GC$75:GC$89,Calc!$F$7),INDEX(Calc!GC$50:GC$64,Calc!$D$7))))</f>
        <v/>
      </c>
      <c r="K67" s="20">
        <f>IF(L67="","",N(L66)*(1+Start!$E$16/12)-L67)</f>
        <v/>
      </c>
      <c r="L67" s="20">
        <f>IF(OR(OR(Calc!$B$4=0,$B67&gt;IF(Start!$D$10="Avalanche",Calc!$B$3,Calc!$B$2)),Calc!$B$8=0),"",IF(N(L66)&lt;=0.005,"",IF(Start!$D$10="Avalanche",INDEX(Calc!GC$75:GC$89,Calc!$F$8),INDEX(Calc!GC$50:GC$64,Calc!$D$8))))</f>
        <v/>
      </c>
      <c r="M67" s="20">
        <f>IF(N67="","",N(N66)*(1+Start!$E$17/12)-N67)</f>
        <v/>
      </c>
      <c r="N67" s="20">
        <f>IF(OR(OR(Calc!$B$4=0,$B67&gt;IF(Start!$D$10="Avalanche",Calc!$B$3,Calc!$B$2)),Calc!$B$9=0),"",IF(N(N66)&lt;=0.005,"",IF(Start!$D$10="Avalanche",INDEX(Calc!GC$75:GC$89,Calc!$F$9),INDEX(Calc!GC$50:GC$64,Calc!$D$9))))</f>
        <v/>
      </c>
      <c r="O67" s="20">
        <f>IF(P67="","",N(P66)*(1+Start!$E$18/12)-P67)</f>
        <v/>
      </c>
      <c r="P67" s="20">
        <f>IF(OR(OR(Calc!$B$4=0,$B67&gt;IF(Start!$D$10="Avalanche",Calc!$B$3,Calc!$B$2)),Calc!$B$10=0),"",IF(N(P66)&lt;=0.005,"",IF(Start!$D$10="Avalanche",INDEX(Calc!GC$75:GC$89,Calc!$F$10),INDEX(Calc!GC$50:GC$64,Calc!$D$10))))</f>
        <v/>
      </c>
      <c r="Q67" s="20">
        <f>IF(R67="","",N(R66)*(1+Start!$E$19/12)-R67)</f>
        <v/>
      </c>
      <c r="R67" s="20">
        <f>IF(OR(OR(Calc!$B$4=0,$B67&gt;IF(Start!$D$10="Avalanche",Calc!$B$3,Calc!$B$2)),Calc!$B$11=0),"",IF(N(R66)&lt;=0.005,"",IF(Start!$D$10="Avalanche",INDEX(Calc!GC$75:GC$89,Calc!$F$11),INDEX(Calc!GC$50:GC$64,Calc!$D$11))))</f>
        <v/>
      </c>
      <c r="S67" s="20">
        <f>IF(T67="","",N(T66)*(1+Start!$E$20/12)-T67)</f>
        <v/>
      </c>
      <c r="T67" s="20">
        <f>IF(OR(OR(Calc!$B$4=0,$B67&gt;IF(Start!$D$10="Avalanche",Calc!$B$3,Calc!$B$2)),Calc!$B$12=0),"",IF(N(T66)&lt;=0.005,"",IF(Start!$D$10="Avalanche",INDEX(Calc!GC$75:GC$89,Calc!$F$12),INDEX(Calc!GC$50:GC$64,Calc!$D$12))))</f>
        <v/>
      </c>
      <c r="U67" s="20">
        <f>IF(V67="","",N(V66)*(1+Start!$E$21/12)-V67)</f>
        <v/>
      </c>
      <c r="V67" s="20">
        <f>IF(OR(OR(Calc!$B$4=0,$B67&gt;IF(Start!$D$10="Avalanche",Calc!$B$3,Calc!$B$2)),Calc!$B$13=0),"",IF(N(V66)&lt;=0.005,"",IF(Start!$D$10="Avalanche",INDEX(Calc!GC$75:GC$89,Calc!$F$13),INDEX(Calc!GC$50:GC$64,Calc!$D$13))))</f>
        <v/>
      </c>
      <c r="W67" s="20">
        <f>IF(X67="","",N(X66)*(1+Start!$E$22/12)-X67)</f>
        <v/>
      </c>
      <c r="X67" s="20">
        <f>IF(OR(OR(Calc!$B$4=0,$B67&gt;IF(Start!$D$10="Avalanche",Calc!$B$3,Calc!$B$2)),Calc!$B$14=0),"",IF(N(X66)&lt;=0.005,"",IF(Start!$D$10="Avalanche",INDEX(Calc!GC$75:GC$89,Calc!$F$14),INDEX(Calc!GC$50:GC$64,Calc!$D$14))))</f>
        <v/>
      </c>
      <c r="Y67" s="20">
        <f>IF(Z67="","",N(Z66)*(1+Start!$E$23/12)-Z67)</f>
        <v/>
      </c>
      <c r="Z67" s="20">
        <f>IF(OR(OR(Calc!$B$4=0,$B67&gt;IF(Start!$D$10="Avalanche",Calc!$B$3,Calc!$B$2)),Calc!$B$15=0),"",IF(N(Z66)&lt;=0.005,"",IF(Start!$D$10="Avalanche",INDEX(Calc!GC$75:GC$89,Calc!$F$15),INDEX(Calc!GC$50:GC$64,Calc!$D$15))))</f>
        <v/>
      </c>
      <c r="AA67" s="20">
        <f>IF(AB67="","",N(AB66)*(1+Start!$E$24/12)-AB67)</f>
        <v/>
      </c>
      <c r="AB67" s="20">
        <f>IF(OR(OR(Calc!$B$4=0,$B67&gt;IF(Start!$D$10="Avalanche",Calc!$B$3,Calc!$B$2)),Calc!$B$16=0),"",IF(N(AB66)&lt;=0.005,"",IF(Start!$D$10="Avalanche",INDEX(Calc!GC$75:GC$89,Calc!$F$16),INDEX(Calc!GC$50:GC$64,Calc!$D$16))))</f>
        <v/>
      </c>
      <c r="AC67" s="20">
        <f>IF(AD67="","",N(AD66)*(1+Start!$E$25/12)-AD67)</f>
        <v/>
      </c>
      <c r="AD67" s="20">
        <f>IF(OR(OR(Calc!$B$4=0,$B67&gt;IF(Start!$D$10="Avalanche",Calc!$B$3,Calc!$B$2)),Calc!$B$17=0),"",IF(N(AD66)&lt;=0.005,"",IF(Start!$D$10="Avalanche",INDEX(Calc!GC$75:GC$89,Calc!$F$17),INDEX(Calc!GC$50:GC$64,Calc!$D$17))))</f>
        <v/>
      </c>
      <c r="AE67" s="20">
        <f>IF(AF67="","",N(AF66)*(1+Start!$E$26/12)-AF67)</f>
        <v/>
      </c>
      <c r="AF67" s="20">
        <f>IF(OR(OR(Calc!$B$4=0,$B67&gt;IF(Start!$D$10="Avalanche",Calc!$B$3,Calc!$B$2)),Calc!$B$18=0),"",IF(N(AF66)&lt;=0.005,"",IF(Start!$D$10="Avalanche",INDEX(Calc!GC$75:GC$89,Calc!$F$18),INDEX(Calc!GC$50:GC$64,Calc!$D$18))))</f>
        <v/>
      </c>
      <c r="AG67" s="20">
        <f>IF(AH67="","",N(AH66)*(1+Start!$E$27/12)-AH67)</f>
        <v/>
      </c>
      <c r="AH67" s="20">
        <f>IF(OR(OR(Calc!$B$4=0,$B67&gt;IF(Start!$D$10="Avalanche",Calc!$B$3,Calc!$B$2)),Calc!$B$19=0),"",IF(N(AH66)&lt;=0.005,"",IF(Start!$D$10="Avalanche",INDEX(Calc!GC$75:GC$89,Calc!$F$19),INDEX(Calc!GC$50:GC$64,Calc!$D$19))))</f>
        <v/>
      </c>
      <c r="AI67" s="20">
        <f>IF(AJ67="","",N(AJ66)*(1+Start!$E$28/12)-AJ67)</f>
        <v/>
      </c>
      <c r="AJ67" s="20">
        <f>IF(OR(OR(Calc!$B$4=0,$B67&gt;IF(Start!$D$10="Avalanche",Calc!$B$3,Calc!$B$2)),Calc!$B$20=0),"",IF(N(AJ66)&lt;=0.005,"",IF(Start!$D$10="Avalanche",INDEX(Calc!GC$75:GC$89,Calc!$F$20),INDEX(Calc!GC$50:GC$64,Calc!$D$20))))</f>
        <v/>
      </c>
    </row>
    <row r="68">
      <c r="B68" s="17" t="n">
        <v>62</v>
      </c>
      <c r="C68" s="19">
        <f>IF(Calc!$B$4=0,"",EDATE(Start!$D$11,61))</f>
        <v/>
      </c>
      <c r="D68" s="20">
        <f>IF(OR(Calc!$B$4=0,$B68&gt;IF(Start!$D$10="Avalanche",Calc!$B$3,Calc!$B$2)),"",SUM(G68,I68,K68,M68,O68,Q68,S68,U68,W68,Y68,AA68,AC68,AE68,AG68,AI68))</f>
        <v/>
      </c>
      <c r="E68" s="20">
        <f>IF(OR(Calc!$B$4=0,$B68&gt;IF(Start!$D$10="Avalanche",Calc!$B$3,Calc!$B$2)),"",IF(Start!$D$10="Avalanche",Calc!GD$72,Calc!GD$47))</f>
        <v/>
      </c>
      <c r="F68" s="21">
        <f>IF(Calc!$B$4=0,"",IF($B68&gt;IF(Start!$D$10="Avalanche",Calc!$B$3,Calc!$B$2),NA(),SUM(H68,J68,L68,N68,P68,R68,T68,V68,X68,Z68,AB68,AD68,AF68,AH68,AJ68)))</f>
        <v/>
      </c>
      <c r="G68" s="20">
        <f>IF(H68="","",N(H67)*(1+Start!$E$14/12)-H68)</f>
        <v/>
      </c>
      <c r="H68" s="20">
        <f>IF(OR(OR(Calc!$B$4=0,$B68&gt;IF(Start!$D$10="Avalanche",Calc!$B$3,Calc!$B$2)),Calc!$B$6=0),"",IF(N(H67)&lt;=0.005,"",IF(Start!$D$10="Avalanche",INDEX(Calc!GF$75:GF$89,Calc!$F$6),INDEX(Calc!GF$50:GF$64,Calc!$D$6))))</f>
        <v/>
      </c>
      <c r="I68" s="20">
        <f>IF(J68="","",N(J67)*(1+Start!$E$15/12)-J68)</f>
        <v/>
      </c>
      <c r="J68" s="20">
        <f>IF(OR(OR(Calc!$B$4=0,$B68&gt;IF(Start!$D$10="Avalanche",Calc!$B$3,Calc!$B$2)),Calc!$B$7=0),"",IF(N(J67)&lt;=0.005,"",IF(Start!$D$10="Avalanche",INDEX(Calc!GF$75:GF$89,Calc!$F$7),INDEX(Calc!GF$50:GF$64,Calc!$D$7))))</f>
        <v/>
      </c>
      <c r="K68" s="20">
        <f>IF(L68="","",N(L67)*(1+Start!$E$16/12)-L68)</f>
        <v/>
      </c>
      <c r="L68" s="20">
        <f>IF(OR(OR(Calc!$B$4=0,$B68&gt;IF(Start!$D$10="Avalanche",Calc!$B$3,Calc!$B$2)),Calc!$B$8=0),"",IF(N(L67)&lt;=0.005,"",IF(Start!$D$10="Avalanche",INDEX(Calc!GF$75:GF$89,Calc!$F$8),INDEX(Calc!GF$50:GF$64,Calc!$D$8))))</f>
        <v/>
      </c>
      <c r="M68" s="20">
        <f>IF(N68="","",N(N67)*(1+Start!$E$17/12)-N68)</f>
        <v/>
      </c>
      <c r="N68" s="20">
        <f>IF(OR(OR(Calc!$B$4=0,$B68&gt;IF(Start!$D$10="Avalanche",Calc!$B$3,Calc!$B$2)),Calc!$B$9=0),"",IF(N(N67)&lt;=0.005,"",IF(Start!$D$10="Avalanche",INDEX(Calc!GF$75:GF$89,Calc!$F$9),INDEX(Calc!GF$50:GF$64,Calc!$D$9))))</f>
        <v/>
      </c>
      <c r="O68" s="20">
        <f>IF(P68="","",N(P67)*(1+Start!$E$18/12)-P68)</f>
        <v/>
      </c>
      <c r="P68" s="20">
        <f>IF(OR(OR(Calc!$B$4=0,$B68&gt;IF(Start!$D$10="Avalanche",Calc!$B$3,Calc!$B$2)),Calc!$B$10=0),"",IF(N(P67)&lt;=0.005,"",IF(Start!$D$10="Avalanche",INDEX(Calc!GF$75:GF$89,Calc!$F$10),INDEX(Calc!GF$50:GF$64,Calc!$D$10))))</f>
        <v/>
      </c>
      <c r="Q68" s="20">
        <f>IF(R68="","",N(R67)*(1+Start!$E$19/12)-R68)</f>
        <v/>
      </c>
      <c r="R68" s="20">
        <f>IF(OR(OR(Calc!$B$4=0,$B68&gt;IF(Start!$D$10="Avalanche",Calc!$B$3,Calc!$B$2)),Calc!$B$11=0),"",IF(N(R67)&lt;=0.005,"",IF(Start!$D$10="Avalanche",INDEX(Calc!GF$75:GF$89,Calc!$F$11),INDEX(Calc!GF$50:GF$64,Calc!$D$11))))</f>
        <v/>
      </c>
      <c r="S68" s="20">
        <f>IF(T68="","",N(T67)*(1+Start!$E$20/12)-T68)</f>
        <v/>
      </c>
      <c r="T68" s="20">
        <f>IF(OR(OR(Calc!$B$4=0,$B68&gt;IF(Start!$D$10="Avalanche",Calc!$B$3,Calc!$B$2)),Calc!$B$12=0),"",IF(N(T67)&lt;=0.005,"",IF(Start!$D$10="Avalanche",INDEX(Calc!GF$75:GF$89,Calc!$F$12),INDEX(Calc!GF$50:GF$64,Calc!$D$12))))</f>
        <v/>
      </c>
      <c r="U68" s="20">
        <f>IF(V68="","",N(V67)*(1+Start!$E$21/12)-V68)</f>
        <v/>
      </c>
      <c r="V68" s="20">
        <f>IF(OR(OR(Calc!$B$4=0,$B68&gt;IF(Start!$D$10="Avalanche",Calc!$B$3,Calc!$B$2)),Calc!$B$13=0),"",IF(N(V67)&lt;=0.005,"",IF(Start!$D$10="Avalanche",INDEX(Calc!GF$75:GF$89,Calc!$F$13),INDEX(Calc!GF$50:GF$64,Calc!$D$13))))</f>
        <v/>
      </c>
      <c r="W68" s="20">
        <f>IF(X68="","",N(X67)*(1+Start!$E$22/12)-X68)</f>
        <v/>
      </c>
      <c r="X68" s="20">
        <f>IF(OR(OR(Calc!$B$4=0,$B68&gt;IF(Start!$D$10="Avalanche",Calc!$B$3,Calc!$B$2)),Calc!$B$14=0),"",IF(N(X67)&lt;=0.005,"",IF(Start!$D$10="Avalanche",INDEX(Calc!GF$75:GF$89,Calc!$F$14),INDEX(Calc!GF$50:GF$64,Calc!$D$14))))</f>
        <v/>
      </c>
      <c r="Y68" s="20">
        <f>IF(Z68="","",N(Z67)*(1+Start!$E$23/12)-Z68)</f>
        <v/>
      </c>
      <c r="Z68" s="20">
        <f>IF(OR(OR(Calc!$B$4=0,$B68&gt;IF(Start!$D$10="Avalanche",Calc!$B$3,Calc!$B$2)),Calc!$B$15=0),"",IF(N(Z67)&lt;=0.005,"",IF(Start!$D$10="Avalanche",INDEX(Calc!GF$75:GF$89,Calc!$F$15),INDEX(Calc!GF$50:GF$64,Calc!$D$15))))</f>
        <v/>
      </c>
      <c r="AA68" s="20">
        <f>IF(AB68="","",N(AB67)*(1+Start!$E$24/12)-AB68)</f>
        <v/>
      </c>
      <c r="AB68" s="20">
        <f>IF(OR(OR(Calc!$B$4=0,$B68&gt;IF(Start!$D$10="Avalanche",Calc!$B$3,Calc!$B$2)),Calc!$B$16=0),"",IF(N(AB67)&lt;=0.005,"",IF(Start!$D$10="Avalanche",INDEX(Calc!GF$75:GF$89,Calc!$F$16),INDEX(Calc!GF$50:GF$64,Calc!$D$16))))</f>
        <v/>
      </c>
      <c r="AC68" s="20">
        <f>IF(AD68="","",N(AD67)*(1+Start!$E$25/12)-AD68)</f>
        <v/>
      </c>
      <c r="AD68" s="20">
        <f>IF(OR(OR(Calc!$B$4=0,$B68&gt;IF(Start!$D$10="Avalanche",Calc!$B$3,Calc!$B$2)),Calc!$B$17=0),"",IF(N(AD67)&lt;=0.005,"",IF(Start!$D$10="Avalanche",INDEX(Calc!GF$75:GF$89,Calc!$F$17),INDEX(Calc!GF$50:GF$64,Calc!$D$17))))</f>
        <v/>
      </c>
      <c r="AE68" s="20">
        <f>IF(AF68="","",N(AF67)*(1+Start!$E$26/12)-AF68)</f>
        <v/>
      </c>
      <c r="AF68" s="20">
        <f>IF(OR(OR(Calc!$B$4=0,$B68&gt;IF(Start!$D$10="Avalanche",Calc!$B$3,Calc!$B$2)),Calc!$B$18=0),"",IF(N(AF67)&lt;=0.005,"",IF(Start!$D$10="Avalanche",INDEX(Calc!GF$75:GF$89,Calc!$F$18),INDEX(Calc!GF$50:GF$64,Calc!$D$18))))</f>
        <v/>
      </c>
      <c r="AG68" s="20">
        <f>IF(AH68="","",N(AH67)*(1+Start!$E$27/12)-AH68)</f>
        <v/>
      </c>
      <c r="AH68" s="20">
        <f>IF(OR(OR(Calc!$B$4=0,$B68&gt;IF(Start!$D$10="Avalanche",Calc!$B$3,Calc!$B$2)),Calc!$B$19=0),"",IF(N(AH67)&lt;=0.005,"",IF(Start!$D$10="Avalanche",INDEX(Calc!GF$75:GF$89,Calc!$F$19),INDEX(Calc!GF$50:GF$64,Calc!$D$19))))</f>
        <v/>
      </c>
      <c r="AI68" s="20">
        <f>IF(AJ68="","",N(AJ67)*(1+Start!$E$28/12)-AJ68)</f>
        <v/>
      </c>
      <c r="AJ68" s="20">
        <f>IF(OR(OR(Calc!$B$4=0,$B68&gt;IF(Start!$D$10="Avalanche",Calc!$B$3,Calc!$B$2)),Calc!$B$20=0),"",IF(N(AJ67)&lt;=0.005,"",IF(Start!$D$10="Avalanche",INDEX(Calc!GF$75:GF$89,Calc!$F$20),INDEX(Calc!GF$50:GF$64,Calc!$D$20))))</f>
        <v/>
      </c>
    </row>
    <row r="69">
      <c r="B69" s="17" t="n">
        <v>63</v>
      </c>
      <c r="C69" s="19">
        <f>IF(Calc!$B$4=0,"",EDATE(Start!$D$11,62))</f>
        <v/>
      </c>
      <c r="D69" s="20">
        <f>IF(OR(Calc!$B$4=0,$B69&gt;IF(Start!$D$10="Avalanche",Calc!$B$3,Calc!$B$2)),"",SUM(G69,I69,K69,M69,O69,Q69,S69,U69,W69,Y69,AA69,AC69,AE69,AG69,AI69))</f>
        <v/>
      </c>
      <c r="E69" s="20">
        <f>IF(OR(Calc!$B$4=0,$B69&gt;IF(Start!$D$10="Avalanche",Calc!$B$3,Calc!$B$2)),"",IF(Start!$D$10="Avalanche",Calc!GG$72,Calc!GG$47))</f>
        <v/>
      </c>
      <c r="F69" s="21">
        <f>IF(Calc!$B$4=0,"",IF($B69&gt;IF(Start!$D$10="Avalanche",Calc!$B$3,Calc!$B$2),NA(),SUM(H69,J69,L69,N69,P69,R69,T69,V69,X69,Z69,AB69,AD69,AF69,AH69,AJ69)))</f>
        <v/>
      </c>
      <c r="G69" s="20">
        <f>IF(H69="","",N(H68)*(1+Start!$E$14/12)-H69)</f>
        <v/>
      </c>
      <c r="H69" s="20">
        <f>IF(OR(OR(Calc!$B$4=0,$B69&gt;IF(Start!$D$10="Avalanche",Calc!$B$3,Calc!$B$2)),Calc!$B$6=0),"",IF(N(H68)&lt;=0.005,"",IF(Start!$D$10="Avalanche",INDEX(Calc!GI$75:GI$89,Calc!$F$6),INDEX(Calc!GI$50:GI$64,Calc!$D$6))))</f>
        <v/>
      </c>
      <c r="I69" s="20">
        <f>IF(J69="","",N(J68)*(1+Start!$E$15/12)-J69)</f>
        <v/>
      </c>
      <c r="J69" s="20">
        <f>IF(OR(OR(Calc!$B$4=0,$B69&gt;IF(Start!$D$10="Avalanche",Calc!$B$3,Calc!$B$2)),Calc!$B$7=0),"",IF(N(J68)&lt;=0.005,"",IF(Start!$D$10="Avalanche",INDEX(Calc!GI$75:GI$89,Calc!$F$7),INDEX(Calc!GI$50:GI$64,Calc!$D$7))))</f>
        <v/>
      </c>
      <c r="K69" s="20">
        <f>IF(L69="","",N(L68)*(1+Start!$E$16/12)-L69)</f>
        <v/>
      </c>
      <c r="L69" s="20">
        <f>IF(OR(OR(Calc!$B$4=0,$B69&gt;IF(Start!$D$10="Avalanche",Calc!$B$3,Calc!$B$2)),Calc!$B$8=0),"",IF(N(L68)&lt;=0.005,"",IF(Start!$D$10="Avalanche",INDEX(Calc!GI$75:GI$89,Calc!$F$8),INDEX(Calc!GI$50:GI$64,Calc!$D$8))))</f>
        <v/>
      </c>
      <c r="M69" s="20">
        <f>IF(N69="","",N(N68)*(1+Start!$E$17/12)-N69)</f>
        <v/>
      </c>
      <c r="N69" s="20">
        <f>IF(OR(OR(Calc!$B$4=0,$B69&gt;IF(Start!$D$10="Avalanche",Calc!$B$3,Calc!$B$2)),Calc!$B$9=0),"",IF(N(N68)&lt;=0.005,"",IF(Start!$D$10="Avalanche",INDEX(Calc!GI$75:GI$89,Calc!$F$9),INDEX(Calc!GI$50:GI$64,Calc!$D$9))))</f>
        <v/>
      </c>
      <c r="O69" s="20">
        <f>IF(P69="","",N(P68)*(1+Start!$E$18/12)-P69)</f>
        <v/>
      </c>
      <c r="P69" s="20">
        <f>IF(OR(OR(Calc!$B$4=0,$B69&gt;IF(Start!$D$10="Avalanche",Calc!$B$3,Calc!$B$2)),Calc!$B$10=0),"",IF(N(P68)&lt;=0.005,"",IF(Start!$D$10="Avalanche",INDEX(Calc!GI$75:GI$89,Calc!$F$10),INDEX(Calc!GI$50:GI$64,Calc!$D$10))))</f>
        <v/>
      </c>
      <c r="Q69" s="20">
        <f>IF(R69="","",N(R68)*(1+Start!$E$19/12)-R69)</f>
        <v/>
      </c>
      <c r="R69" s="20">
        <f>IF(OR(OR(Calc!$B$4=0,$B69&gt;IF(Start!$D$10="Avalanche",Calc!$B$3,Calc!$B$2)),Calc!$B$11=0),"",IF(N(R68)&lt;=0.005,"",IF(Start!$D$10="Avalanche",INDEX(Calc!GI$75:GI$89,Calc!$F$11),INDEX(Calc!GI$50:GI$64,Calc!$D$11))))</f>
        <v/>
      </c>
      <c r="S69" s="20">
        <f>IF(T69="","",N(T68)*(1+Start!$E$20/12)-T69)</f>
        <v/>
      </c>
      <c r="T69" s="20">
        <f>IF(OR(OR(Calc!$B$4=0,$B69&gt;IF(Start!$D$10="Avalanche",Calc!$B$3,Calc!$B$2)),Calc!$B$12=0),"",IF(N(T68)&lt;=0.005,"",IF(Start!$D$10="Avalanche",INDEX(Calc!GI$75:GI$89,Calc!$F$12),INDEX(Calc!GI$50:GI$64,Calc!$D$12))))</f>
        <v/>
      </c>
      <c r="U69" s="20">
        <f>IF(V69="","",N(V68)*(1+Start!$E$21/12)-V69)</f>
        <v/>
      </c>
      <c r="V69" s="20">
        <f>IF(OR(OR(Calc!$B$4=0,$B69&gt;IF(Start!$D$10="Avalanche",Calc!$B$3,Calc!$B$2)),Calc!$B$13=0),"",IF(N(V68)&lt;=0.005,"",IF(Start!$D$10="Avalanche",INDEX(Calc!GI$75:GI$89,Calc!$F$13),INDEX(Calc!GI$50:GI$64,Calc!$D$13))))</f>
        <v/>
      </c>
      <c r="W69" s="20">
        <f>IF(X69="","",N(X68)*(1+Start!$E$22/12)-X69)</f>
        <v/>
      </c>
      <c r="X69" s="20">
        <f>IF(OR(OR(Calc!$B$4=0,$B69&gt;IF(Start!$D$10="Avalanche",Calc!$B$3,Calc!$B$2)),Calc!$B$14=0),"",IF(N(X68)&lt;=0.005,"",IF(Start!$D$10="Avalanche",INDEX(Calc!GI$75:GI$89,Calc!$F$14),INDEX(Calc!GI$50:GI$64,Calc!$D$14))))</f>
        <v/>
      </c>
      <c r="Y69" s="20">
        <f>IF(Z69="","",N(Z68)*(1+Start!$E$23/12)-Z69)</f>
        <v/>
      </c>
      <c r="Z69" s="20">
        <f>IF(OR(OR(Calc!$B$4=0,$B69&gt;IF(Start!$D$10="Avalanche",Calc!$B$3,Calc!$B$2)),Calc!$B$15=0),"",IF(N(Z68)&lt;=0.005,"",IF(Start!$D$10="Avalanche",INDEX(Calc!GI$75:GI$89,Calc!$F$15),INDEX(Calc!GI$50:GI$64,Calc!$D$15))))</f>
        <v/>
      </c>
      <c r="AA69" s="20">
        <f>IF(AB69="","",N(AB68)*(1+Start!$E$24/12)-AB69)</f>
        <v/>
      </c>
      <c r="AB69" s="20">
        <f>IF(OR(OR(Calc!$B$4=0,$B69&gt;IF(Start!$D$10="Avalanche",Calc!$B$3,Calc!$B$2)),Calc!$B$16=0),"",IF(N(AB68)&lt;=0.005,"",IF(Start!$D$10="Avalanche",INDEX(Calc!GI$75:GI$89,Calc!$F$16),INDEX(Calc!GI$50:GI$64,Calc!$D$16))))</f>
        <v/>
      </c>
      <c r="AC69" s="20">
        <f>IF(AD69="","",N(AD68)*(1+Start!$E$25/12)-AD69)</f>
        <v/>
      </c>
      <c r="AD69" s="20">
        <f>IF(OR(OR(Calc!$B$4=0,$B69&gt;IF(Start!$D$10="Avalanche",Calc!$B$3,Calc!$B$2)),Calc!$B$17=0),"",IF(N(AD68)&lt;=0.005,"",IF(Start!$D$10="Avalanche",INDEX(Calc!GI$75:GI$89,Calc!$F$17),INDEX(Calc!GI$50:GI$64,Calc!$D$17))))</f>
        <v/>
      </c>
      <c r="AE69" s="20">
        <f>IF(AF69="","",N(AF68)*(1+Start!$E$26/12)-AF69)</f>
        <v/>
      </c>
      <c r="AF69" s="20">
        <f>IF(OR(OR(Calc!$B$4=0,$B69&gt;IF(Start!$D$10="Avalanche",Calc!$B$3,Calc!$B$2)),Calc!$B$18=0),"",IF(N(AF68)&lt;=0.005,"",IF(Start!$D$10="Avalanche",INDEX(Calc!GI$75:GI$89,Calc!$F$18),INDEX(Calc!GI$50:GI$64,Calc!$D$18))))</f>
        <v/>
      </c>
      <c r="AG69" s="20">
        <f>IF(AH69="","",N(AH68)*(1+Start!$E$27/12)-AH69)</f>
        <v/>
      </c>
      <c r="AH69" s="20">
        <f>IF(OR(OR(Calc!$B$4=0,$B69&gt;IF(Start!$D$10="Avalanche",Calc!$B$3,Calc!$B$2)),Calc!$B$19=0),"",IF(N(AH68)&lt;=0.005,"",IF(Start!$D$10="Avalanche",INDEX(Calc!GI$75:GI$89,Calc!$F$19),INDEX(Calc!GI$50:GI$64,Calc!$D$19))))</f>
        <v/>
      </c>
      <c r="AI69" s="20">
        <f>IF(AJ69="","",N(AJ68)*(1+Start!$E$28/12)-AJ69)</f>
        <v/>
      </c>
      <c r="AJ69" s="20">
        <f>IF(OR(OR(Calc!$B$4=0,$B69&gt;IF(Start!$D$10="Avalanche",Calc!$B$3,Calc!$B$2)),Calc!$B$20=0),"",IF(N(AJ68)&lt;=0.005,"",IF(Start!$D$10="Avalanche",INDEX(Calc!GI$75:GI$89,Calc!$F$20),INDEX(Calc!GI$50:GI$64,Calc!$D$20))))</f>
        <v/>
      </c>
    </row>
    <row r="70">
      <c r="B70" s="17" t="n">
        <v>64</v>
      </c>
      <c r="C70" s="19">
        <f>IF(Calc!$B$4=0,"",EDATE(Start!$D$11,63))</f>
        <v/>
      </c>
      <c r="D70" s="20">
        <f>IF(OR(Calc!$B$4=0,$B70&gt;IF(Start!$D$10="Avalanche",Calc!$B$3,Calc!$B$2)),"",SUM(G70,I70,K70,M70,O70,Q70,S70,U70,W70,Y70,AA70,AC70,AE70,AG70,AI70))</f>
        <v/>
      </c>
      <c r="E70" s="20">
        <f>IF(OR(Calc!$B$4=0,$B70&gt;IF(Start!$D$10="Avalanche",Calc!$B$3,Calc!$B$2)),"",IF(Start!$D$10="Avalanche",Calc!GJ$72,Calc!GJ$47))</f>
        <v/>
      </c>
      <c r="F70" s="21">
        <f>IF(Calc!$B$4=0,"",IF($B70&gt;IF(Start!$D$10="Avalanche",Calc!$B$3,Calc!$B$2),NA(),SUM(H70,J70,L70,N70,P70,R70,T70,V70,X70,Z70,AB70,AD70,AF70,AH70,AJ70)))</f>
        <v/>
      </c>
      <c r="G70" s="20">
        <f>IF(H70="","",N(H69)*(1+Start!$E$14/12)-H70)</f>
        <v/>
      </c>
      <c r="H70" s="20">
        <f>IF(OR(OR(Calc!$B$4=0,$B70&gt;IF(Start!$D$10="Avalanche",Calc!$B$3,Calc!$B$2)),Calc!$B$6=0),"",IF(N(H69)&lt;=0.005,"",IF(Start!$D$10="Avalanche",INDEX(Calc!GL$75:GL$89,Calc!$F$6),INDEX(Calc!GL$50:GL$64,Calc!$D$6))))</f>
        <v/>
      </c>
      <c r="I70" s="20">
        <f>IF(J70="","",N(J69)*(1+Start!$E$15/12)-J70)</f>
        <v/>
      </c>
      <c r="J70" s="20">
        <f>IF(OR(OR(Calc!$B$4=0,$B70&gt;IF(Start!$D$10="Avalanche",Calc!$B$3,Calc!$B$2)),Calc!$B$7=0),"",IF(N(J69)&lt;=0.005,"",IF(Start!$D$10="Avalanche",INDEX(Calc!GL$75:GL$89,Calc!$F$7),INDEX(Calc!GL$50:GL$64,Calc!$D$7))))</f>
        <v/>
      </c>
      <c r="K70" s="20">
        <f>IF(L70="","",N(L69)*(1+Start!$E$16/12)-L70)</f>
        <v/>
      </c>
      <c r="L70" s="20">
        <f>IF(OR(OR(Calc!$B$4=0,$B70&gt;IF(Start!$D$10="Avalanche",Calc!$B$3,Calc!$B$2)),Calc!$B$8=0),"",IF(N(L69)&lt;=0.005,"",IF(Start!$D$10="Avalanche",INDEX(Calc!GL$75:GL$89,Calc!$F$8),INDEX(Calc!GL$50:GL$64,Calc!$D$8))))</f>
        <v/>
      </c>
      <c r="M70" s="20">
        <f>IF(N70="","",N(N69)*(1+Start!$E$17/12)-N70)</f>
        <v/>
      </c>
      <c r="N70" s="20">
        <f>IF(OR(OR(Calc!$B$4=0,$B70&gt;IF(Start!$D$10="Avalanche",Calc!$B$3,Calc!$B$2)),Calc!$B$9=0),"",IF(N(N69)&lt;=0.005,"",IF(Start!$D$10="Avalanche",INDEX(Calc!GL$75:GL$89,Calc!$F$9),INDEX(Calc!GL$50:GL$64,Calc!$D$9))))</f>
        <v/>
      </c>
      <c r="O70" s="20">
        <f>IF(P70="","",N(P69)*(1+Start!$E$18/12)-P70)</f>
        <v/>
      </c>
      <c r="P70" s="20">
        <f>IF(OR(OR(Calc!$B$4=0,$B70&gt;IF(Start!$D$10="Avalanche",Calc!$B$3,Calc!$B$2)),Calc!$B$10=0),"",IF(N(P69)&lt;=0.005,"",IF(Start!$D$10="Avalanche",INDEX(Calc!GL$75:GL$89,Calc!$F$10),INDEX(Calc!GL$50:GL$64,Calc!$D$10))))</f>
        <v/>
      </c>
      <c r="Q70" s="20">
        <f>IF(R70="","",N(R69)*(1+Start!$E$19/12)-R70)</f>
        <v/>
      </c>
      <c r="R70" s="20">
        <f>IF(OR(OR(Calc!$B$4=0,$B70&gt;IF(Start!$D$10="Avalanche",Calc!$B$3,Calc!$B$2)),Calc!$B$11=0),"",IF(N(R69)&lt;=0.005,"",IF(Start!$D$10="Avalanche",INDEX(Calc!GL$75:GL$89,Calc!$F$11),INDEX(Calc!GL$50:GL$64,Calc!$D$11))))</f>
        <v/>
      </c>
      <c r="S70" s="20">
        <f>IF(T70="","",N(T69)*(1+Start!$E$20/12)-T70)</f>
        <v/>
      </c>
      <c r="T70" s="20">
        <f>IF(OR(OR(Calc!$B$4=0,$B70&gt;IF(Start!$D$10="Avalanche",Calc!$B$3,Calc!$B$2)),Calc!$B$12=0),"",IF(N(T69)&lt;=0.005,"",IF(Start!$D$10="Avalanche",INDEX(Calc!GL$75:GL$89,Calc!$F$12),INDEX(Calc!GL$50:GL$64,Calc!$D$12))))</f>
        <v/>
      </c>
      <c r="U70" s="20">
        <f>IF(V70="","",N(V69)*(1+Start!$E$21/12)-V70)</f>
        <v/>
      </c>
      <c r="V70" s="20">
        <f>IF(OR(OR(Calc!$B$4=0,$B70&gt;IF(Start!$D$10="Avalanche",Calc!$B$3,Calc!$B$2)),Calc!$B$13=0),"",IF(N(V69)&lt;=0.005,"",IF(Start!$D$10="Avalanche",INDEX(Calc!GL$75:GL$89,Calc!$F$13),INDEX(Calc!GL$50:GL$64,Calc!$D$13))))</f>
        <v/>
      </c>
      <c r="W70" s="20">
        <f>IF(X70="","",N(X69)*(1+Start!$E$22/12)-X70)</f>
        <v/>
      </c>
      <c r="X70" s="20">
        <f>IF(OR(OR(Calc!$B$4=0,$B70&gt;IF(Start!$D$10="Avalanche",Calc!$B$3,Calc!$B$2)),Calc!$B$14=0),"",IF(N(X69)&lt;=0.005,"",IF(Start!$D$10="Avalanche",INDEX(Calc!GL$75:GL$89,Calc!$F$14),INDEX(Calc!GL$50:GL$64,Calc!$D$14))))</f>
        <v/>
      </c>
      <c r="Y70" s="20">
        <f>IF(Z70="","",N(Z69)*(1+Start!$E$23/12)-Z70)</f>
        <v/>
      </c>
      <c r="Z70" s="20">
        <f>IF(OR(OR(Calc!$B$4=0,$B70&gt;IF(Start!$D$10="Avalanche",Calc!$B$3,Calc!$B$2)),Calc!$B$15=0),"",IF(N(Z69)&lt;=0.005,"",IF(Start!$D$10="Avalanche",INDEX(Calc!GL$75:GL$89,Calc!$F$15),INDEX(Calc!GL$50:GL$64,Calc!$D$15))))</f>
        <v/>
      </c>
      <c r="AA70" s="20">
        <f>IF(AB70="","",N(AB69)*(1+Start!$E$24/12)-AB70)</f>
        <v/>
      </c>
      <c r="AB70" s="20">
        <f>IF(OR(OR(Calc!$B$4=0,$B70&gt;IF(Start!$D$10="Avalanche",Calc!$B$3,Calc!$B$2)),Calc!$B$16=0),"",IF(N(AB69)&lt;=0.005,"",IF(Start!$D$10="Avalanche",INDEX(Calc!GL$75:GL$89,Calc!$F$16),INDEX(Calc!GL$50:GL$64,Calc!$D$16))))</f>
        <v/>
      </c>
      <c r="AC70" s="20">
        <f>IF(AD70="","",N(AD69)*(1+Start!$E$25/12)-AD70)</f>
        <v/>
      </c>
      <c r="AD70" s="20">
        <f>IF(OR(OR(Calc!$B$4=0,$B70&gt;IF(Start!$D$10="Avalanche",Calc!$B$3,Calc!$B$2)),Calc!$B$17=0),"",IF(N(AD69)&lt;=0.005,"",IF(Start!$D$10="Avalanche",INDEX(Calc!GL$75:GL$89,Calc!$F$17),INDEX(Calc!GL$50:GL$64,Calc!$D$17))))</f>
        <v/>
      </c>
      <c r="AE70" s="20">
        <f>IF(AF70="","",N(AF69)*(1+Start!$E$26/12)-AF70)</f>
        <v/>
      </c>
      <c r="AF70" s="20">
        <f>IF(OR(OR(Calc!$B$4=0,$B70&gt;IF(Start!$D$10="Avalanche",Calc!$B$3,Calc!$B$2)),Calc!$B$18=0),"",IF(N(AF69)&lt;=0.005,"",IF(Start!$D$10="Avalanche",INDEX(Calc!GL$75:GL$89,Calc!$F$18),INDEX(Calc!GL$50:GL$64,Calc!$D$18))))</f>
        <v/>
      </c>
      <c r="AG70" s="20">
        <f>IF(AH70="","",N(AH69)*(1+Start!$E$27/12)-AH70)</f>
        <v/>
      </c>
      <c r="AH70" s="20">
        <f>IF(OR(OR(Calc!$B$4=0,$B70&gt;IF(Start!$D$10="Avalanche",Calc!$B$3,Calc!$B$2)),Calc!$B$19=0),"",IF(N(AH69)&lt;=0.005,"",IF(Start!$D$10="Avalanche",INDEX(Calc!GL$75:GL$89,Calc!$F$19),INDEX(Calc!GL$50:GL$64,Calc!$D$19))))</f>
        <v/>
      </c>
      <c r="AI70" s="20">
        <f>IF(AJ70="","",N(AJ69)*(1+Start!$E$28/12)-AJ70)</f>
        <v/>
      </c>
      <c r="AJ70" s="20">
        <f>IF(OR(OR(Calc!$B$4=0,$B70&gt;IF(Start!$D$10="Avalanche",Calc!$B$3,Calc!$B$2)),Calc!$B$20=0),"",IF(N(AJ69)&lt;=0.005,"",IF(Start!$D$10="Avalanche",INDEX(Calc!GL$75:GL$89,Calc!$F$20),INDEX(Calc!GL$50:GL$64,Calc!$D$20))))</f>
        <v/>
      </c>
    </row>
    <row r="71">
      <c r="B71" s="17" t="n">
        <v>65</v>
      </c>
      <c r="C71" s="19">
        <f>IF(Calc!$B$4=0,"",EDATE(Start!$D$11,64))</f>
        <v/>
      </c>
      <c r="D71" s="20">
        <f>IF(OR(Calc!$B$4=0,$B71&gt;IF(Start!$D$10="Avalanche",Calc!$B$3,Calc!$B$2)),"",SUM(G71,I71,K71,M71,O71,Q71,S71,U71,W71,Y71,AA71,AC71,AE71,AG71,AI71))</f>
        <v/>
      </c>
      <c r="E71" s="20">
        <f>IF(OR(Calc!$B$4=0,$B71&gt;IF(Start!$D$10="Avalanche",Calc!$B$3,Calc!$B$2)),"",IF(Start!$D$10="Avalanche",Calc!GM$72,Calc!GM$47))</f>
        <v/>
      </c>
      <c r="F71" s="21">
        <f>IF(Calc!$B$4=0,"",IF($B71&gt;IF(Start!$D$10="Avalanche",Calc!$B$3,Calc!$B$2),NA(),SUM(H71,J71,L71,N71,P71,R71,T71,V71,X71,Z71,AB71,AD71,AF71,AH71,AJ71)))</f>
        <v/>
      </c>
      <c r="G71" s="20">
        <f>IF(H71="","",N(H70)*(1+Start!$E$14/12)-H71)</f>
        <v/>
      </c>
      <c r="H71" s="20">
        <f>IF(OR(OR(Calc!$B$4=0,$B71&gt;IF(Start!$D$10="Avalanche",Calc!$B$3,Calc!$B$2)),Calc!$B$6=0),"",IF(N(H70)&lt;=0.005,"",IF(Start!$D$10="Avalanche",INDEX(Calc!GO$75:GO$89,Calc!$F$6),INDEX(Calc!GO$50:GO$64,Calc!$D$6))))</f>
        <v/>
      </c>
      <c r="I71" s="20">
        <f>IF(J71="","",N(J70)*(1+Start!$E$15/12)-J71)</f>
        <v/>
      </c>
      <c r="J71" s="20">
        <f>IF(OR(OR(Calc!$B$4=0,$B71&gt;IF(Start!$D$10="Avalanche",Calc!$B$3,Calc!$B$2)),Calc!$B$7=0),"",IF(N(J70)&lt;=0.005,"",IF(Start!$D$10="Avalanche",INDEX(Calc!GO$75:GO$89,Calc!$F$7),INDEX(Calc!GO$50:GO$64,Calc!$D$7))))</f>
        <v/>
      </c>
      <c r="K71" s="20">
        <f>IF(L71="","",N(L70)*(1+Start!$E$16/12)-L71)</f>
        <v/>
      </c>
      <c r="L71" s="20">
        <f>IF(OR(OR(Calc!$B$4=0,$B71&gt;IF(Start!$D$10="Avalanche",Calc!$B$3,Calc!$B$2)),Calc!$B$8=0),"",IF(N(L70)&lt;=0.005,"",IF(Start!$D$10="Avalanche",INDEX(Calc!GO$75:GO$89,Calc!$F$8),INDEX(Calc!GO$50:GO$64,Calc!$D$8))))</f>
        <v/>
      </c>
      <c r="M71" s="20">
        <f>IF(N71="","",N(N70)*(1+Start!$E$17/12)-N71)</f>
        <v/>
      </c>
      <c r="N71" s="20">
        <f>IF(OR(OR(Calc!$B$4=0,$B71&gt;IF(Start!$D$10="Avalanche",Calc!$B$3,Calc!$B$2)),Calc!$B$9=0),"",IF(N(N70)&lt;=0.005,"",IF(Start!$D$10="Avalanche",INDEX(Calc!GO$75:GO$89,Calc!$F$9),INDEX(Calc!GO$50:GO$64,Calc!$D$9))))</f>
        <v/>
      </c>
      <c r="O71" s="20">
        <f>IF(P71="","",N(P70)*(1+Start!$E$18/12)-P71)</f>
        <v/>
      </c>
      <c r="P71" s="20">
        <f>IF(OR(OR(Calc!$B$4=0,$B71&gt;IF(Start!$D$10="Avalanche",Calc!$B$3,Calc!$B$2)),Calc!$B$10=0),"",IF(N(P70)&lt;=0.005,"",IF(Start!$D$10="Avalanche",INDEX(Calc!GO$75:GO$89,Calc!$F$10),INDEX(Calc!GO$50:GO$64,Calc!$D$10))))</f>
        <v/>
      </c>
      <c r="Q71" s="20">
        <f>IF(R71="","",N(R70)*(1+Start!$E$19/12)-R71)</f>
        <v/>
      </c>
      <c r="R71" s="20">
        <f>IF(OR(OR(Calc!$B$4=0,$B71&gt;IF(Start!$D$10="Avalanche",Calc!$B$3,Calc!$B$2)),Calc!$B$11=0),"",IF(N(R70)&lt;=0.005,"",IF(Start!$D$10="Avalanche",INDEX(Calc!GO$75:GO$89,Calc!$F$11),INDEX(Calc!GO$50:GO$64,Calc!$D$11))))</f>
        <v/>
      </c>
      <c r="S71" s="20">
        <f>IF(T71="","",N(T70)*(1+Start!$E$20/12)-T71)</f>
        <v/>
      </c>
      <c r="T71" s="20">
        <f>IF(OR(OR(Calc!$B$4=0,$B71&gt;IF(Start!$D$10="Avalanche",Calc!$B$3,Calc!$B$2)),Calc!$B$12=0),"",IF(N(T70)&lt;=0.005,"",IF(Start!$D$10="Avalanche",INDEX(Calc!GO$75:GO$89,Calc!$F$12),INDEX(Calc!GO$50:GO$64,Calc!$D$12))))</f>
        <v/>
      </c>
      <c r="U71" s="20">
        <f>IF(V71="","",N(V70)*(1+Start!$E$21/12)-V71)</f>
        <v/>
      </c>
      <c r="V71" s="20">
        <f>IF(OR(OR(Calc!$B$4=0,$B71&gt;IF(Start!$D$10="Avalanche",Calc!$B$3,Calc!$B$2)),Calc!$B$13=0),"",IF(N(V70)&lt;=0.005,"",IF(Start!$D$10="Avalanche",INDEX(Calc!GO$75:GO$89,Calc!$F$13),INDEX(Calc!GO$50:GO$64,Calc!$D$13))))</f>
        <v/>
      </c>
      <c r="W71" s="20">
        <f>IF(X71="","",N(X70)*(1+Start!$E$22/12)-X71)</f>
        <v/>
      </c>
      <c r="X71" s="20">
        <f>IF(OR(OR(Calc!$B$4=0,$B71&gt;IF(Start!$D$10="Avalanche",Calc!$B$3,Calc!$B$2)),Calc!$B$14=0),"",IF(N(X70)&lt;=0.005,"",IF(Start!$D$10="Avalanche",INDEX(Calc!GO$75:GO$89,Calc!$F$14),INDEX(Calc!GO$50:GO$64,Calc!$D$14))))</f>
        <v/>
      </c>
      <c r="Y71" s="20">
        <f>IF(Z71="","",N(Z70)*(1+Start!$E$23/12)-Z71)</f>
        <v/>
      </c>
      <c r="Z71" s="20">
        <f>IF(OR(OR(Calc!$B$4=0,$B71&gt;IF(Start!$D$10="Avalanche",Calc!$B$3,Calc!$B$2)),Calc!$B$15=0),"",IF(N(Z70)&lt;=0.005,"",IF(Start!$D$10="Avalanche",INDEX(Calc!GO$75:GO$89,Calc!$F$15),INDEX(Calc!GO$50:GO$64,Calc!$D$15))))</f>
        <v/>
      </c>
      <c r="AA71" s="20">
        <f>IF(AB71="","",N(AB70)*(1+Start!$E$24/12)-AB71)</f>
        <v/>
      </c>
      <c r="AB71" s="20">
        <f>IF(OR(OR(Calc!$B$4=0,$B71&gt;IF(Start!$D$10="Avalanche",Calc!$B$3,Calc!$B$2)),Calc!$B$16=0),"",IF(N(AB70)&lt;=0.005,"",IF(Start!$D$10="Avalanche",INDEX(Calc!GO$75:GO$89,Calc!$F$16),INDEX(Calc!GO$50:GO$64,Calc!$D$16))))</f>
        <v/>
      </c>
      <c r="AC71" s="20">
        <f>IF(AD71="","",N(AD70)*(1+Start!$E$25/12)-AD71)</f>
        <v/>
      </c>
      <c r="AD71" s="20">
        <f>IF(OR(OR(Calc!$B$4=0,$B71&gt;IF(Start!$D$10="Avalanche",Calc!$B$3,Calc!$B$2)),Calc!$B$17=0),"",IF(N(AD70)&lt;=0.005,"",IF(Start!$D$10="Avalanche",INDEX(Calc!GO$75:GO$89,Calc!$F$17),INDEX(Calc!GO$50:GO$64,Calc!$D$17))))</f>
        <v/>
      </c>
      <c r="AE71" s="20">
        <f>IF(AF71="","",N(AF70)*(1+Start!$E$26/12)-AF71)</f>
        <v/>
      </c>
      <c r="AF71" s="20">
        <f>IF(OR(OR(Calc!$B$4=0,$B71&gt;IF(Start!$D$10="Avalanche",Calc!$B$3,Calc!$B$2)),Calc!$B$18=0),"",IF(N(AF70)&lt;=0.005,"",IF(Start!$D$10="Avalanche",INDEX(Calc!GO$75:GO$89,Calc!$F$18),INDEX(Calc!GO$50:GO$64,Calc!$D$18))))</f>
        <v/>
      </c>
      <c r="AG71" s="20">
        <f>IF(AH71="","",N(AH70)*(1+Start!$E$27/12)-AH71)</f>
        <v/>
      </c>
      <c r="AH71" s="20">
        <f>IF(OR(OR(Calc!$B$4=0,$B71&gt;IF(Start!$D$10="Avalanche",Calc!$B$3,Calc!$B$2)),Calc!$B$19=0),"",IF(N(AH70)&lt;=0.005,"",IF(Start!$D$10="Avalanche",INDEX(Calc!GO$75:GO$89,Calc!$F$19),INDEX(Calc!GO$50:GO$64,Calc!$D$19))))</f>
        <v/>
      </c>
      <c r="AI71" s="20">
        <f>IF(AJ71="","",N(AJ70)*(1+Start!$E$28/12)-AJ71)</f>
        <v/>
      </c>
      <c r="AJ71" s="20">
        <f>IF(OR(OR(Calc!$B$4=0,$B71&gt;IF(Start!$D$10="Avalanche",Calc!$B$3,Calc!$B$2)),Calc!$B$20=0),"",IF(N(AJ70)&lt;=0.005,"",IF(Start!$D$10="Avalanche",INDEX(Calc!GO$75:GO$89,Calc!$F$20),INDEX(Calc!GO$50:GO$64,Calc!$D$20))))</f>
        <v/>
      </c>
    </row>
    <row r="72">
      <c r="B72" s="17" t="n">
        <v>66</v>
      </c>
      <c r="C72" s="19">
        <f>IF(Calc!$B$4=0,"",EDATE(Start!$D$11,65))</f>
        <v/>
      </c>
      <c r="D72" s="20">
        <f>IF(OR(Calc!$B$4=0,$B72&gt;IF(Start!$D$10="Avalanche",Calc!$B$3,Calc!$B$2)),"",SUM(G72,I72,K72,M72,O72,Q72,S72,U72,W72,Y72,AA72,AC72,AE72,AG72,AI72))</f>
        <v/>
      </c>
      <c r="E72" s="20">
        <f>IF(OR(Calc!$B$4=0,$B72&gt;IF(Start!$D$10="Avalanche",Calc!$B$3,Calc!$B$2)),"",IF(Start!$D$10="Avalanche",Calc!GP$72,Calc!GP$47))</f>
        <v/>
      </c>
      <c r="F72" s="21">
        <f>IF(Calc!$B$4=0,"",IF($B72&gt;IF(Start!$D$10="Avalanche",Calc!$B$3,Calc!$B$2),NA(),SUM(H72,J72,L72,N72,P72,R72,T72,V72,X72,Z72,AB72,AD72,AF72,AH72,AJ72)))</f>
        <v/>
      </c>
      <c r="G72" s="20">
        <f>IF(H72="","",N(H71)*(1+Start!$E$14/12)-H72)</f>
        <v/>
      </c>
      <c r="H72" s="20">
        <f>IF(OR(OR(Calc!$B$4=0,$B72&gt;IF(Start!$D$10="Avalanche",Calc!$B$3,Calc!$B$2)),Calc!$B$6=0),"",IF(N(H71)&lt;=0.005,"",IF(Start!$D$10="Avalanche",INDEX(Calc!GR$75:GR$89,Calc!$F$6),INDEX(Calc!GR$50:GR$64,Calc!$D$6))))</f>
        <v/>
      </c>
      <c r="I72" s="20">
        <f>IF(J72="","",N(J71)*(1+Start!$E$15/12)-J72)</f>
        <v/>
      </c>
      <c r="J72" s="20">
        <f>IF(OR(OR(Calc!$B$4=0,$B72&gt;IF(Start!$D$10="Avalanche",Calc!$B$3,Calc!$B$2)),Calc!$B$7=0),"",IF(N(J71)&lt;=0.005,"",IF(Start!$D$10="Avalanche",INDEX(Calc!GR$75:GR$89,Calc!$F$7),INDEX(Calc!GR$50:GR$64,Calc!$D$7))))</f>
        <v/>
      </c>
      <c r="K72" s="20">
        <f>IF(L72="","",N(L71)*(1+Start!$E$16/12)-L72)</f>
        <v/>
      </c>
      <c r="L72" s="20">
        <f>IF(OR(OR(Calc!$B$4=0,$B72&gt;IF(Start!$D$10="Avalanche",Calc!$B$3,Calc!$B$2)),Calc!$B$8=0),"",IF(N(L71)&lt;=0.005,"",IF(Start!$D$10="Avalanche",INDEX(Calc!GR$75:GR$89,Calc!$F$8),INDEX(Calc!GR$50:GR$64,Calc!$D$8))))</f>
        <v/>
      </c>
      <c r="M72" s="20">
        <f>IF(N72="","",N(N71)*(1+Start!$E$17/12)-N72)</f>
        <v/>
      </c>
      <c r="N72" s="20">
        <f>IF(OR(OR(Calc!$B$4=0,$B72&gt;IF(Start!$D$10="Avalanche",Calc!$B$3,Calc!$B$2)),Calc!$B$9=0),"",IF(N(N71)&lt;=0.005,"",IF(Start!$D$10="Avalanche",INDEX(Calc!GR$75:GR$89,Calc!$F$9),INDEX(Calc!GR$50:GR$64,Calc!$D$9))))</f>
        <v/>
      </c>
      <c r="O72" s="20">
        <f>IF(P72="","",N(P71)*(1+Start!$E$18/12)-P72)</f>
        <v/>
      </c>
      <c r="P72" s="20">
        <f>IF(OR(OR(Calc!$B$4=0,$B72&gt;IF(Start!$D$10="Avalanche",Calc!$B$3,Calc!$B$2)),Calc!$B$10=0),"",IF(N(P71)&lt;=0.005,"",IF(Start!$D$10="Avalanche",INDEX(Calc!GR$75:GR$89,Calc!$F$10),INDEX(Calc!GR$50:GR$64,Calc!$D$10))))</f>
        <v/>
      </c>
      <c r="Q72" s="20">
        <f>IF(R72="","",N(R71)*(1+Start!$E$19/12)-R72)</f>
        <v/>
      </c>
      <c r="R72" s="20">
        <f>IF(OR(OR(Calc!$B$4=0,$B72&gt;IF(Start!$D$10="Avalanche",Calc!$B$3,Calc!$B$2)),Calc!$B$11=0),"",IF(N(R71)&lt;=0.005,"",IF(Start!$D$10="Avalanche",INDEX(Calc!GR$75:GR$89,Calc!$F$11),INDEX(Calc!GR$50:GR$64,Calc!$D$11))))</f>
        <v/>
      </c>
      <c r="S72" s="20">
        <f>IF(T72="","",N(T71)*(1+Start!$E$20/12)-T72)</f>
        <v/>
      </c>
      <c r="T72" s="20">
        <f>IF(OR(OR(Calc!$B$4=0,$B72&gt;IF(Start!$D$10="Avalanche",Calc!$B$3,Calc!$B$2)),Calc!$B$12=0),"",IF(N(T71)&lt;=0.005,"",IF(Start!$D$10="Avalanche",INDEX(Calc!GR$75:GR$89,Calc!$F$12),INDEX(Calc!GR$50:GR$64,Calc!$D$12))))</f>
        <v/>
      </c>
      <c r="U72" s="20">
        <f>IF(V72="","",N(V71)*(1+Start!$E$21/12)-V72)</f>
        <v/>
      </c>
      <c r="V72" s="20">
        <f>IF(OR(OR(Calc!$B$4=0,$B72&gt;IF(Start!$D$10="Avalanche",Calc!$B$3,Calc!$B$2)),Calc!$B$13=0),"",IF(N(V71)&lt;=0.005,"",IF(Start!$D$10="Avalanche",INDEX(Calc!GR$75:GR$89,Calc!$F$13),INDEX(Calc!GR$50:GR$64,Calc!$D$13))))</f>
        <v/>
      </c>
      <c r="W72" s="20">
        <f>IF(X72="","",N(X71)*(1+Start!$E$22/12)-X72)</f>
        <v/>
      </c>
      <c r="X72" s="20">
        <f>IF(OR(OR(Calc!$B$4=0,$B72&gt;IF(Start!$D$10="Avalanche",Calc!$B$3,Calc!$B$2)),Calc!$B$14=0),"",IF(N(X71)&lt;=0.005,"",IF(Start!$D$10="Avalanche",INDEX(Calc!GR$75:GR$89,Calc!$F$14),INDEX(Calc!GR$50:GR$64,Calc!$D$14))))</f>
        <v/>
      </c>
      <c r="Y72" s="20">
        <f>IF(Z72="","",N(Z71)*(1+Start!$E$23/12)-Z72)</f>
        <v/>
      </c>
      <c r="Z72" s="20">
        <f>IF(OR(OR(Calc!$B$4=0,$B72&gt;IF(Start!$D$10="Avalanche",Calc!$B$3,Calc!$B$2)),Calc!$B$15=0),"",IF(N(Z71)&lt;=0.005,"",IF(Start!$D$10="Avalanche",INDEX(Calc!GR$75:GR$89,Calc!$F$15),INDEX(Calc!GR$50:GR$64,Calc!$D$15))))</f>
        <v/>
      </c>
      <c r="AA72" s="20">
        <f>IF(AB72="","",N(AB71)*(1+Start!$E$24/12)-AB72)</f>
        <v/>
      </c>
      <c r="AB72" s="20">
        <f>IF(OR(OR(Calc!$B$4=0,$B72&gt;IF(Start!$D$10="Avalanche",Calc!$B$3,Calc!$B$2)),Calc!$B$16=0),"",IF(N(AB71)&lt;=0.005,"",IF(Start!$D$10="Avalanche",INDEX(Calc!GR$75:GR$89,Calc!$F$16),INDEX(Calc!GR$50:GR$64,Calc!$D$16))))</f>
        <v/>
      </c>
      <c r="AC72" s="20">
        <f>IF(AD72="","",N(AD71)*(1+Start!$E$25/12)-AD72)</f>
        <v/>
      </c>
      <c r="AD72" s="20">
        <f>IF(OR(OR(Calc!$B$4=0,$B72&gt;IF(Start!$D$10="Avalanche",Calc!$B$3,Calc!$B$2)),Calc!$B$17=0),"",IF(N(AD71)&lt;=0.005,"",IF(Start!$D$10="Avalanche",INDEX(Calc!GR$75:GR$89,Calc!$F$17),INDEX(Calc!GR$50:GR$64,Calc!$D$17))))</f>
        <v/>
      </c>
      <c r="AE72" s="20">
        <f>IF(AF72="","",N(AF71)*(1+Start!$E$26/12)-AF72)</f>
        <v/>
      </c>
      <c r="AF72" s="20">
        <f>IF(OR(OR(Calc!$B$4=0,$B72&gt;IF(Start!$D$10="Avalanche",Calc!$B$3,Calc!$B$2)),Calc!$B$18=0),"",IF(N(AF71)&lt;=0.005,"",IF(Start!$D$10="Avalanche",INDEX(Calc!GR$75:GR$89,Calc!$F$18),INDEX(Calc!GR$50:GR$64,Calc!$D$18))))</f>
        <v/>
      </c>
      <c r="AG72" s="20">
        <f>IF(AH72="","",N(AH71)*(1+Start!$E$27/12)-AH72)</f>
        <v/>
      </c>
      <c r="AH72" s="20">
        <f>IF(OR(OR(Calc!$B$4=0,$B72&gt;IF(Start!$D$10="Avalanche",Calc!$B$3,Calc!$B$2)),Calc!$B$19=0),"",IF(N(AH71)&lt;=0.005,"",IF(Start!$D$10="Avalanche",INDEX(Calc!GR$75:GR$89,Calc!$F$19),INDEX(Calc!GR$50:GR$64,Calc!$D$19))))</f>
        <v/>
      </c>
      <c r="AI72" s="20">
        <f>IF(AJ72="","",N(AJ71)*(1+Start!$E$28/12)-AJ72)</f>
        <v/>
      </c>
      <c r="AJ72" s="20">
        <f>IF(OR(OR(Calc!$B$4=0,$B72&gt;IF(Start!$D$10="Avalanche",Calc!$B$3,Calc!$B$2)),Calc!$B$20=0),"",IF(N(AJ71)&lt;=0.005,"",IF(Start!$D$10="Avalanche",INDEX(Calc!GR$75:GR$89,Calc!$F$20),INDEX(Calc!GR$50:GR$64,Calc!$D$20))))</f>
        <v/>
      </c>
    </row>
    <row r="73">
      <c r="B73" s="17" t="n">
        <v>67</v>
      </c>
      <c r="C73" s="19">
        <f>IF(Calc!$B$4=0,"",EDATE(Start!$D$11,66))</f>
        <v/>
      </c>
      <c r="D73" s="20">
        <f>IF(OR(Calc!$B$4=0,$B73&gt;IF(Start!$D$10="Avalanche",Calc!$B$3,Calc!$B$2)),"",SUM(G73,I73,K73,M73,O73,Q73,S73,U73,W73,Y73,AA73,AC73,AE73,AG73,AI73))</f>
        <v/>
      </c>
      <c r="E73" s="20">
        <f>IF(OR(Calc!$B$4=0,$B73&gt;IF(Start!$D$10="Avalanche",Calc!$B$3,Calc!$B$2)),"",IF(Start!$D$10="Avalanche",Calc!GS$72,Calc!GS$47))</f>
        <v/>
      </c>
      <c r="F73" s="21">
        <f>IF(Calc!$B$4=0,"",IF($B73&gt;IF(Start!$D$10="Avalanche",Calc!$B$3,Calc!$B$2),NA(),SUM(H73,J73,L73,N73,P73,R73,T73,V73,X73,Z73,AB73,AD73,AF73,AH73,AJ73)))</f>
        <v/>
      </c>
      <c r="G73" s="20">
        <f>IF(H73="","",N(H72)*(1+Start!$E$14/12)-H73)</f>
        <v/>
      </c>
      <c r="H73" s="20">
        <f>IF(OR(OR(Calc!$B$4=0,$B73&gt;IF(Start!$D$10="Avalanche",Calc!$B$3,Calc!$B$2)),Calc!$B$6=0),"",IF(N(H72)&lt;=0.005,"",IF(Start!$D$10="Avalanche",INDEX(Calc!GU$75:GU$89,Calc!$F$6),INDEX(Calc!GU$50:GU$64,Calc!$D$6))))</f>
        <v/>
      </c>
      <c r="I73" s="20">
        <f>IF(J73="","",N(J72)*(1+Start!$E$15/12)-J73)</f>
        <v/>
      </c>
      <c r="J73" s="20">
        <f>IF(OR(OR(Calc!$B$4=0,$B73&gt;IF(Start!$D$10="Avalanche",Calc!$B$3,Calc!$B$2)),Calc!$B$7=0),"",IF(N(J72)&lt;=0.005,"",IF(Start!$D$10="Avalanche",INDEX(Calc!GU$75:GU$89,Calc!$F$7),INDEX(Calc!GU$50:GU$64,Calc!$D$7))))</f>
        <v/>
      </c>
      <c r="K73" s="20">
        <f>IF(L73="","",N(L72)*(1+Start!$E$16/12)-L73)</f>
        <v/>
      </c>
      <c r="L73" s="20">
        <f>IF(OR(OR(Calc!$B$4=0,$B73&gt;IF(Start!$D$10="Avalanche",Calc!$B$3,Calc!$B$2)),Calc!$B$8=0),"",IF(N(L72)&lt;=0.005,"",IF(Start!$D$10="Avalanche",INDEX(Calc!GU$75:GU$89,Calc!$F$8),INDEX(Calc!GU$50:GU$64,Calc!$D$8))))</f>
        <v/>
      </c>
      <c r="M73" s="20">
        <f>IF(N73="","",N(N72)*(1+Start!$E$17/12)-N73)</f>
        <v/>
      </c>
      <c r="N73" s="20">
        <f>IF(OR(OR(Calc!$B$4=0,$B73&gt;IF(Start!$D$10="Avalanche",Calc!$B$3,Calc!$B$2)),Calc!$B$9=0),"",IF(N(N72)&lt;=0.005,"",IF(Start!$D$10="Avalanche",INDEX(Calc!GU$75:GU$89,Calc!$F$9),INDEX(Calc!GU$50:GU$64,Calc!$D$9))))</f>
        <v/>
      </c>
      <c r="O73" s="20">
        <f>IF(P73="","",N(P72)*(1+Start!$E$18/12)-P73)</f>
        <v/>
      </c>
      <c r="P73" s="20">
        <f>IF(OR(OR(Calc!$B$4=0,$B73&gt;IF(Start!$D$10="Avalanche",Calc!$B$3,Calc!$B$2)),Calc!$B$10=0),"",IF(N(P72)&lt;=0.005,"",IF(Start!$D$10="Avalanche",INDEX(Calc!GU$75:GU$89,Calc!$F$10),INDEX(Calc!GU$50:GU$64,Calc!$D$10))))</f>
        <v/>
      </c>
      <c r="Q73" s="20">
        <f>IF(R73="","",N(R72)*(1+Start!$E$19/12)-R73)</f>
        <v/>
      </c>
      <c r="R73" s="20">
        <f>IF(OR(OR(Calc!$B$4=0,$B73&gt;IF(Start!$D$10="Avalanche",Calc!$B$3,Calc!$B$2)),Calc!$B$11=0),"",IF(N(R72)&lt;=0.005,"",IF(Start!$D$10="Avalanche",INDEX(Calc!GU$75:GU$89,Calc!$F$11),INDEX(Calc!GU$50:GU$64,Calc!$D$11))))</f>
        <v/>
      </c>
      <c r="S73" s="20">
        <f>IF(T73="","",N(T72)*(1+Start!$E$20/12)-T73)</f>
        <v/>
      </c>
      <c r="T73" s="20">
        <f>IF(OR(OR(Calc!$B$4=0,$B73&gt;IF(Start!$D$10="Avalanche",Calc!$B$3,Calc!$B$2)),Calc!$B$12=0),"",IF(N(T72)&lt;=0.005,"",IF(Start!$D$10="Avalanche",INDEX(Calc!GU$75:GU$89,Calc!$F$12),INDEX(Calc!GU$50:GU$64,Calc!$D$12))))</f>
        <v/>
      </c>
      <c r="U73" s="20">
        <f>IF(V73="","",N(V72)*(1+Start!$E$21/12)-V73)</f>
        <v/>
      </c>
      <c r="V73" s="20">
        <f>IF(OR(OR(Calc!$B$4=0,$B73&gt;IF(Start!$D$10="Avalanche",Calc!$B$3,Calc!$B$2)),Calc!$B$13=0),"",IF(N(V72)&lt;=0.005,"",IF(Start!$D$10="Avalanche",INDEX(Calc!GU$75:GU$89,Calc!$F$13),INDEX(Calc!GU$50:GU$64,Calc!$D$13))))</f>
        <v/>
      </c>
      <c r="W73" s="20">
        <f>IF(X73="","",N(X72)*(1+Start!$E$22/12)-X73)</f>
        <v/>
      </c>
      <c r="X73" s="20">
        <f>IF(OR(OR(Calc!$B$4=0,$B73&gt;IF(Start!$D$10="Avalanche",Calc!$B$3,Calc!$B$2)),Calc!$B$14=0),"",IF(N(X72)&lt;=0.005,"",IF(Start!$D$10="Avalanche",INDEX(Calc!GU$75:GU$89,Calc!$F$14),INDEX(Calc!GU$50:GU$64,Calc!$D$14))))</f>
        <v/>
      </c>
      <c r="Y73" s="20">
        <f>IF(Z73="","",N(Z72)*(1+Start!$E$23/12)-Z73)</f>
        <v/>
      </c>
      <c r="Z73" s="20">
        <f>IF(OR(OR(Calc!$B$4=0,$B73&gt;IF(Start!$D$10="Avalanche",Calc!$B$3,Calc!$B$2)),Calc!$B$15=0),"",IF(N(Z72)&lt;=0.005,"",IF(Start!$D$10="Avalanche",INDEX(Calc!GU$75:GU$89,Calc!$F$15),INDEX(Calc!GU$50:GU$64,Calc!$D$15))))</f>
        <v/>
      </c>
      <c r="AA73" s="20">
        <f>IF(AB73="","",N(AB72)*(1+Start!$E$24/12)-AB73)</f>
        <v/>
      </c>
      <c r="AB73" s="20">
        <f>IF(OR(OR(Calc!$B$4=0,$B73&gt;IF(Start!$D$10="Avalanche",Calc!$B$3,Calc!$B$2)),Calc!$B$16=0),"",IF(N(AB72)&lt;=0.005,"",IF(Start!$D$10="Avalanche",INDEX(Calc!GU$75:GU$89,Calc!$F$16),INDEX(Calc!GU$50:GU$64,Calc!$D$16))))</f>
        <v/>
      </c>
      <c r="AC73" s="20">
        <f>IF(AD73="","",N(AD72)*(1+Start!$E$25/12)-AD73)</f>
        <v/>
      </c>
      <c r="AD73" s="20">
        <f>IF(OR(OR(Calc!$B$4=0,$B73&gt;IF(Start!$D$10="Avalanche",Calc!$B$3,Calc!$B$2)),Calc!$B$17=0),"",IF(N(AD72)&lt;=0.005,"",IF(Start!$D$10="Avalanche",INDEX(Calc!GU$75:GU$89,Calc!$F$17),INDEX(Calc!GU$50:GU$64,Calc!$D$17))))</f>
        <v/>
      </c>
      <c r="AE73" s="20">
        <f>IF(AF73="","",N(AF72)*(1+Start!$E$26/12)-AF73)</f>
        <v/>
      </c>
      <c r="AF73" s="20">
        <f>IF(OR(OR(Calc!$B$4=0,$B73&gt;IF(Start!$D$10="Avalanche",Calc!$B$3,Calc!$B$2)),Calc!$B$18=0),"",IF(N(AF72)&lt;=0.005,"",IF(Start!$D$10="Avalanche",INDEX(Calc!GU$75:GU$89,Calc!$F$18),INDEX(Calc!GU$50:GU$64,Calc!$D$18))))</f>
        <v/>
      </c>
      <c r="AG73" s="20">
        <f>IF(AH73="","",N(AH72)*(1+Start!$E$27/12)-AH73)</f>
        <v/>
      </c>
      <c r="AH73" s="20">
        <f>IF(OR(OR(Calc!$B$4=0,$B73&gt;IF(Start!$D$10="Avalanche",Calc!$B$3,Calc!$B$2)),Calc!$B$19=0),"",IF(N(AH72)&lt;=0.005,"",IF(Start!$D$10="Avalanche",INDEX(Calc!GU$75:GU$89,Calc!$F$19),INDEX(Calc!GU$50:GU$64,Calc!$D$19))))</f>
        <v/>
      </c>
      <c r="AI73" s="20">
        <f>IF(AJ73="","",N(AJ72)*(1+Start!$E$28/12)-AJ73)</f>
        <v/>
      </c>
      <c r="AJ73" s="20">
        <f>IF(OR(OR(Calc!$B$4=0,$B73&gt;IF(Start!$D$10="Avalanche",Calc!$B$3,Calc!$B$2)),Calc!$B$20=0),"",IF(N(AJ72)&lt;=0.005,"",IF(Start!$D$10="Avalanche",INDEX(Calc!GU$75:GU$89,Calc!$F$20),INDEX(Calc!GU$50:GU$64,Calc!$D$20))))</f>
        <v/>
      </c>
    </row>
    <row r="74">
      <c r="B74" s="17" t="n">
        <v>68</v>
      </c>
      <c r="C74" s="19">
        <f>IF(Calc!$B$4=0,"",EDATE(Start!$D$11,67))</f>
        <v/>
      </c>
      <c r="D74" s="20">
        <f>IF(OR(Calc!$B$4=0,$B74&gt;IF(Start!$D$10="Avalanche",Calc!$B$3,Calc!$B$2)),"",SUM(G74,I74,K74,M74,O74,Q74,S74,U74,W74,Y74,AA74,AC74,AE74,AG74,AI74))</f>
        <v/>
      </c>
      <c r="E74" s="20">
        <f>IF(OR(Calc!$B$4=0,$B74&gt;IF(Start!$D$10="Avalanche",Calc!$B$3,Calc!$B$2)),"",IF(Start!$D$10="Avalanche",Calc!GV$72,Calc!GV$47))</f>
        <v/>
      </c>
      <c r="F74" s="21">
        <f>IF(Calc!$B$4=0,"",IF($B74&gt;IF(Start!$D$10="Avalanche",Calc!$B$3,Calc!$B$2),NA(),SUM(H74,J74,L74,N74,P74,R74,T74,V74,X74,Z74,AB74,AD74,AF74,AH74,AJ74)))</f>
        <v/>
      </c>
      <c r="G74" s="20">
        <f>IF(H74="","",N(H73)*(1+Start!$E$14/12)-H74)</f>
        <v/>
      </c>
      <c r="H74" s="20">
        <f>IF(OR(OR(Calc!$B$4=0,$B74&gt;IF(Start!$D$10="Avalanche",Calc!$B$3,Calc!$B$2)),Calc!$B$6=0),"",IF(N(H73)&lt;=0.005,"",IF(Start!$D$10="Avalanche",INDEX(Calc!GX$75:GX$89,Calc!$F$6),INDEX(Calc!GX$50:GX$64,Calc!$D$6))))</f>
        <v/>
      </c>
      <c r="I74" s="20">
        <f>IF(J74="","",N(J73)*(1+Start!$E$15/12)-J74)</f>
        <v/>
      </c>
      <c r="J74" s="20">
        <f>IF(OR(OR(Calc!$B$4=0,$B74&gt;IF(Start!$D$10="Avalanche",Calc!$B$3,Calc!$B$2)),Calc!$B$7=0),"",IF(N(J73)&lt;=0.005,"",IF(Start!$D$10="Avalanche",INDEX(Calc!GX$75:GX$89,Calc!$F$7),INDEX(Calc!GX$50:GX$64,Calc!$D$7))))</f>
        <v/>
      </c>
      <c r="K74" s="20">
        <f>IF(L74="","",N(L73)*(1+Start!$E$16/12)-L74)</f>
        <v/>
      </c>
      <c r="L74" s="20">
        <f>IF(OR(OR(Calc!$B$4=0,$B74&gt;IF(Start!$D$10="Avalanche",Calc!$B$3,Calc!$B$2)),Calc!$B$8=0),"",IF(N(L73)&lt;=0.005,"",IF(Start!$D$10="Avalanche",INDEX(Calc!GX$75:GX$89,Calc!$F$8),INDEX(Calc!GX$50:GX$64,Calc!$D$8))))</f>
        <v/>
      </c>
      <c r="M74" s="20">
        <f>IF(N74="","",N(N73)*(1+Start!$E$17/12)-N74)</f>
        <v/>
      </c>
      <c r="N74" s="20">
        <f>IF(OR(OR(Calc!$B$4=0,$B74&gt;IF(Start!$D$10="Avalanche",Calc!$B$3,Calc!$B$2)),Calc!$B$9=0),"",IF(N(N73)&lt;=0.005,"",IF(Start!$D$10="Avalanche",INDEX(Calc!GX$75:GX$89,Calc!$F$9),INDEX(Calc!GX$50:GX$64,Calc!$D$9))))</f>
        <v/>
      </c>
      <c r="O74" s="20">
        <f>IF(P74="","",N(P73)*(1+Start!$E$18/12)-P74)</f>
        <v/>
      </c>
      <c r="P74" s="20">
        <f>IF(OR(OR(Calc!$B$4=0,$B74&gt;IF(Start!$D$10="Avalanche",Calc!$B$3,Calc!$B$2)),Calc!$B$10=0),"",IF(N(P73)&lt;=0.005,"",IF(Start!$D$10="Avalanche",INDEX(Calc!GX$75:GX$89,Calc!$F$10),INDEX(Calc!GX$50:GX$64,Calc!$D$10))))</f>
        <v/>
      </c>
      <c r="Q74" s="20">
        <f>IF(R74="","",N(R73)*(1+Start!$E$19/12)-R74)</f>
        <v/>
      </c>
      <c r="R74" s="20">
        <f>IF(OR(OR(Calc!$B$4=0,$B74&gt;IF(Start!$D$10="Avalanche",Calc!$B$3,Calc!$B$2)),Calc!$B$11=0),"",IF(N(R73)&lt;=0.005,"",IF(Start!$D$10="Avalanche",INDEX(Calc!GX$75:GX$89,Calc!$F$11),INDEX(Calc!GX$50:GX$64,Calc!$D$11))))</f>
        <v/>
      </c>
      <c r="S74" s="20">
        <f>IF(T74="","",N(T73)*(1+Start!$E$20/12)-T74)</f>
        <v/>
      </c>
      <c r="T74" s="20">
        <f>IF(OR(OR(Calc!$B$4=0,$B74&gt;IF(Start!$D$10="Avalanche",Calc!$B$3,Calc!$B$2)),Calc!$B$12=0),"",IF(N(T73)&lt;=0.005,"",IF(Start!$D$10="Avalanche",INDEX(Calc!GX$75:GX$89,Calc!$F$12),INDEX(Calc!GX$50:GX$64,Calc!$D$12))))</f>
        <v/>
      </c>
      <c r="U74" s="20">
        <f>IF(V74="","",N(V73)*(1+Start!$E$21/12)-V74)</f>
        <v/>
      </c>
      <c r="V74" s="20">
        <f>IF(OR(OR(Calc!$B$4=0,$B74&gt;IF(Start!$D$10="Avalanche",Calc!$B$3,Calc!$B$2)),Calc!$B$13=0),"",IF(N(V73)&lt;=0.005,"",IF(Start!$D$10="Avalanche",INDEX(Calc!GX$75:GX$89,Calc!$F$13),INDEX(Calc!GX$50:GX$64,Calc!$D$13))))</f>
        <v/>
      </c>
      <c r="W74" s="20">
        <f>IF(X74="","",N(X73)*(1+Start!$E$22/12)-X74)</f>
        <v/>
      </c>
      <c r="X74" s="20">
        <f>IF(OR(OR(Calc!$B$4=0,$B74&gt;IF(Start!$D$10="Avalanche",Calc!$B$3,Calc!$B$2)),Calc!$B$14=0),"",IF(N(X73)&lt;=0.005,"",IF(Start!$D$10="Avalanche",INDEX(Calc!GX$75:GX$89,Calc!$F$14),INDEX(Calc!GX$50:GX$64,Calc!$D$14))))</f>
        <v/>
      </c>
      <c r="Y74" s="20">
        <f>IF(Z74="","",N(Z73)*(1+Start!$E$23/12)-Z74)</f>
        <v/>
      </c>
      <c r="Z74" s="20">
        <f>IF(OR(OR(Calc!$B$4=0,$B74&gt;IF(Start!$D$10="Avalanche",Calc!$B$3,Calc!$B$2)),Calc!$B$15=0),"",IF(N(Z73)&lt;=0.005,"",IF(Start!$D$10="Avalanche",INDEX(Calc!GX$75:GX$89,Calc!$F$15),INDEX(Calc!GX$50:GX$64,Calc!$D$15))))</f>
        <v/>
      </c>
      <c r="AA74" s="20">
        <f>IF(AB74="","",N(AB73)*(1+Start!$E$24/12)-AB74)</f>
        <v/>
      </c>
      <c r="AB74" s="20">
        <f>IF(OR(OR(Calc!$B$4=0,$B74&gt;IF(Start!$D$10="Avalanche",Calc!$B$3,Calc!$B$2)),Calc!$B$16=0),"",IF(N(AB73)&lt;=0.005,"",IF(Start!$D$10="Avalanche",INDEX(Calc!GX$75:GX$89,Calc!$F$16),INDEX(Calc!GX$50:GX$64,Calc!$D$16))))</f>
        <v/>
      </c>
      <c r="AC74" s="20">
        <f>IF(AD74="","",N(AD73)*(1+Start!$E$25/12)-AD74)</f>
        <v/>
      </c>
      <c r="AD74" s="20">
        <f>IF(OR(OR(Calc!$B$4=0,$B74&gt;IF(Start!$D$10="Avalanche",Calc!$B$3,Calc!$B$2)),Calc!$B$17=0),"",IF(N(AD73)&lt;=0.005,"",IF(Start!$D$10="Avalanche",INDEX(Calc!GX$75:GX$89,Calc!$F$17),INDEX(Calc!GX$50:GX$64,Calc!$D$17))))</f>
        <v/>
      </c>
      <c r="AE74" s="20">
        <f>IF(AF74="","",N(AF73)*(1+Start!$E$26/12)-AF74)</f>
        <v/>
      </c>
      <c r="AF74" s="20">
        <f>IF(OR(OR(Calc!$B$4=0,$B74&gt;IF(Start!$D$10="Avalanche",Calc!$B$3,Calc!$B$2)),Calc!$B$18=0),"",IF(N(AF73)&lt;=0.005,"",IF(Start!$D$10="Avalanche",INDEX(Calc!GX$75:GX$89,Calc!$F$18),INDEX(Calc!GX$50:GX$64,Calc!$D$18))))</f>
        <v/>
      </c>
      <c r="AG74" s="20">
        <f>IF(AH74="","",N(AH73)*(1+Start!$E$27/12)-AH74)</f>
        <v/>
      </c>
      <c r="AH74" s="20">
        <f>IF(OR(OR(Calc!$B$4=0,$B74&gt;IF(Start!$D$10="Avalanche",Calc!$B$3,Calc!$B$2)),Calc!$B$19=0),"",IF(N(AH73)&lt;=0.005,"",IF(Start!$D$10="Avalanche",INDEX(Calc!GX$75:GX$89,Calc!$F$19),INDEX(Calc!GX$50:GX$64,Calc!$D$19))))</f>
        <v/>
      </c>
      <c r="AI74" s="20">
        <f>IF(AJ74="","",N(AJ73)*(1+Start!$E$28/12)-AJ74)</f>
        <v/>
      </c>
      <c r="AJ74" s="20">
        <f>IF(OR(OR(Calc!$B$4=0,$B74&gt;IF(Start!$D$10="Avalanche",Calc!$B$3,Calc!$B$2)),Calc!$B$20=0),"",IF(N(AJ73)&lt;=0.005,"",IF(Start!$D$10="Avalanche",INDEX(Calc!GX$75:GX$89,Calc!$F$20),INDEX(Calc!GX$50:GX$64,Calc!$D$20))))</f>
        <v/>
      </c>
    </row>
    <row r="75">
      <c r="B75" s="17" t="n">
        <v>69</v>
      </c>
      <c r="C75" s="19">
        <f>IF(Calc!$B$4=0,"",EDATE(Start!$D$11,68))</f>
        <v/>
      </c>
      <c r="D75" s="20">
        <f>IF(OR(Calc!$B$4=0,$B75&gt;IF(Start!$D$10="Avalanche",Calc!$B$3,Calc!$B$2)),"",SUM(G75,I75,K75,M75,O75,Q75,S75,U75,W75,Y75,AA75,AC75,AE75,AG75,AI75))</f>
        <v/>
      </c>
      <c r="E75" s="20">
        <f>IF(OR(Calc!$B$4=0,$B75&gt;IF(Start!$D$10="Avalanche",Calc!$B$3,Calc!$B$2)),"",IF(Start!$D$10="Avalanche",Calc!GY$72,Calc!GY$47))</f>
        <v/>
      </c>
      <c r="F75" s="21">
        <f>IF(Calc!$B$4=0,"",IF($B75&gt;IF(Start!$D$10="Avalanche",Calc!$B$3,Calc!$B$2),NA(),SUM(H75,J75,L75,N75,P75,R75,T75,V75,X75,Z75,AB75,AD75,AF75,AH75,AJ75)))</f>
        <v/>
      </c>
      <c r="G75" s="20">
        <f>IF(H75="","",N(H74)*(1+Start!$E$14/12)-H75)</f>
        <v/>
      </c>
      <c r="H75" s="20">
        <f>IF(OR(OR(Calc!$B$4=0,$B75&gt;IF(Start!$D$10="Avalanche",Calc!$B$3,Calc!$B$2)),Calc!$B$6=0),"",IF(N(H74)&lt;=0.005,"",IF(Start!$D$10="Avalanche",INDEX(Calc!HA$75:HA$89,Calc!$F$6),INDEX(Calc!HA$50:HA$64,Calc!$D$6))))</f>
        <v/>
      </c>
      <c r="I75" s="20">
        <f>IF(J75="","",N(J74)*(1+Start!$E$15/12)-J75)</f>
        <v/>
      </c>
      <c r="J75" s="20">
        <f>IF(OR(OR(Calc!$B$4=0,$B75&gt;IF(Start!$D$10="Avalanche",Calc!$B$3,Calc!$B$2)),Calc!$B$7=0),"",IF(N(J74)&lt;=0.005,"",IF(Start!$D$10="Avalanche",INDEX(Calc!HA$75:HA$89,Calc!$F$7),INDEX(Calc!HA$50:HA$64,Calc!$D$7))))</f>
        <v/>
      </c>
      <c r="K75" s="20">
        <f>IF(L75="","",N(L74)*(1+Start!$E$16/12)-L75)</f>
        <v/>
      </c>
      <c r="L75" s="20">
        <f>IF(OR(OR(Calc!$B$4=0,$B75&gt;IF(Start!$D$10="Avalanche",Calc!$B$3,Calc!$B$2)),Calc!$B$8=0),"",IF(N(L74)&lt;=0.005,"",IF(Start!$D$10="Avalanche",INDEX(Calc!HA$75:HA$89,Calc!$F$8),INDEX(Calc!HA$50:HA$64,Calc!$D$8))))</f>
        <v/>
      </c>
      <c r="M75" s="20">
        <f>IF(N75="","",N(N74)*(1+Start!$E$17/12)-N75)</f>
        <v/>
      </c>
      <c r="N75" s="20">
        <f>IF(OR(OR(Calc!$B$4=0,$B75&gt;IF(Start!$D$10="Avalanche",Calc!$B$3,Calc!$B$2)),Calc!$B$9=0),"",IF(N(N74)&lt;=0.005,"",IF(Start!$D$10="Avalanche",INDEX(Calc!HA$75:HA$89,Calc!$F$9),INDEX(Calc!HA$50:HA$64,Calc!$D$9))))</f>
        <v/>
      </c>
      <c r="O75" s="20">
        <f>IF(P75="","",N(P74)*(1+Start!$E$18/12)-P75)</f>
        <v/>
      </c>
      <c r="P75" s="20">
        <f>IF(OR(OR(Calc!$B$4=0,$B75&gt;IF(Start!$D$10="Avalanche",Calc!$B$3,Calc!$B$2)),Calc!$B$10=0),"",IF(N(P74)&lt;=0.005,"",IF(Start!$D$10="Avalanche",INDEX(Calc!HA$75:HA$89,Calc!$F$10),INDEX(Calc!HA$50:HA$64,Calc!$D$10))))</f>
        <v/>
      </c>
      <c r="Q75" s="20">
        <f>IF(R75="","",N(R74)*(1+Start!$E$19/12)-R75)</f>
        <v/>
      </c>
      <c r="R75" s="20">
        <f>IF(OR(OR(Calc!$B$4=0,$B75&gt;IF(Start!$D$10="Avalanche",Calc!$B$3,Calc!$B$2)),Calc!$B$11=0),"",IF(N(R74)&lt;=0.005,"",IF(Start!$D$10="Avalanche",INDEX(Calc!HA$75:HA$89,Calc!$F$11),INDEX(Calc!HA$50:HA$64,Calc!$D$11))))</f>
        <v/>
      </c>
      <c r="S75" s="20">
        <f>IF(T75="","",N(T74)*(1+Start!$E$20/12)-T75)</f>
        <v/>
      </c>
      <c r="T75" s="20">
        <f>IF(OR(OR(Calc!$B$4=0,$B75&gt;IF(Start!$D$10="Avalanche",Calc!$B$3,Calc!$B$2)),Calc!$B$12=0),"",IF(N(T74)&lt;=0.005,"",IF(Start!$D$10="Avalanche",INDEX(Calc!HA$75:HA$89,Calc!$F$12),INDEX(Calc!HA$50:HA$64,Calc!$D$12))))</f>
        <v/>
      </c>
      <c r="U75" s="20">
        <f>IF(V75="","",N(V74)*(1+Start!$E$21/12)-V75)</f>
        <v/>
      </c>
      <c r="V75" s="20">
        <f>IF(OR(OR(Calc!$B$4=0,$B75&gt;IF(Start!$D$10="Avalanche",Calc!$B$3,Calc!$B$2)),Calc!$B$13=0),"",IF(N(V74)&lt;=0.005,"",IF(Start!$D$10="Avalanche",INDEX(Calc!HA$75:HA$89,Calc!$F$13),INDEX(Calc!HA$50:HA$64,Calc!$D$13))))</f>
        <v/>
      </c>
      <c r="W75" s="20">
        <f>IF(X75="","",N(X74)*(1+Start!$E$22/12)-X75)</f>
        <v/>
      </c>
      <c r="X75" s="20">
        <f>IF(OR(OR(Calc!$B$4=0,$B75&gt;IF(Start!$D$10="Avalanche",Calc!$B$3,Calc!$B$2)),Calc!$B$14=0),"",IF(N(X74)&lt;=0.005,"",IF(Start!$D$10="Avalanche",INDEX(Calc!HA$75:HA$89,Calc!$F$14),INDEX(Calc!HA$50:HA$64,Calc!$D$14))))</f>
        <v/>
      </c>
      <c r="Y75" s="20">
        <f>IF(Z75="","",N(Z74)*(1+Start!$E$23/12)-Z75)</f>
        <v/>
      </c>
      <c r="Z75" s="20">
        <f>IF(OR(OR(Calc!$B$4=0,$B75&gt;IF(Start!$D$10="Avalanche",Calc!$B$3,Calc!$B$2)),Calc!$B$15=0),"",IF(N(Z74)&lt;=0.005,"",IF(Start!$D$10="Avalanche",INDEX(Calc!HA$75:HA$89,Calc!$F$15),INDEX(Calc!HA$50:HA$64,Calc!$D$15))))</f>
        <v/>
      </c>
      <c r="AA75" s="20">
        <f>IF(AB75="","",N(AB74)*(1+Start!$E$24/12)-AB75)</f>
        <v/>
      </c>
      <c r="AB75" s="20">
        <f>IF(OR(OR(Calc!$B$4=0,$B75&gt;IF(Start!$D$10="Avalanche",Calc!$B$3,Calc!$B$2)),Calc!$B$16=0),"",IF(N(AB74)&lt;=0.005,"",IF(Start!$D$10="Avalanche",INDEX(Calc!HA$75:HA$89,Calc!$F$16),INDEX(Calc!HA$50:HA$64,Calc!$D$16))))</f>
        <v/>
      </c>
      <c r="AC75" s="20">
        <f>IF(AD75="","",N(AD74)*(1+Start!$E$25/12)-AD75)</f>
        <v/>
      </c>
      <c r="AD75" s="20">
        <f>IF(OR(OR(Calc!$B$4=0,$B75&gt;IF(Start!$D$10="Avalanche",Calc!$B$3,Calc!$B$2)),Calc!$B$17=0),"",IF(N(AD74)&lt;=0.005,"",IF(Start!$D$10="Avalanche",INDEX(Calc!HA$75:HA$89,Calc!$F$17),INDEX(Calc!HA$50:HA$64,Calc!$D$17))))</f>
        <v/>
      </c>
      <c r="AE75" s="20">
        <f>IF(AF75="","",N(AF74)*(1+Start!$E$26/12)-AF75)</f>
        <v/>
      </c>
      <c r="AF75" s="20">
        <f>IF(OR(OR(Calc!$B$4=0,$B75&gt;IF(Start!$D$10="Avalanche",Calc!$B$3,Calc!$B$2)),Calc!$B$18=0),"",IF(N(AF74)&lt;=0.005,"",IF(Start!$D$10="Avalanche",INDEX(Calc!HA$75:HA$89,Calc!$F$18),INDEX(Calc!HA$50:HA$64,Calc!$D$18))))</f>
        <v/>
      </c>
      <c r="AG75" s="20">
        <f>IF(AH75="","",N(AH74)*(1+Start!$E$27/12)-AH75)</f>
        <v/>
      </c>
      <c r="AH75" s="20">
        <f>IF(OR(OR(Calc!$B$4=0,$B75&gt;IF(Start!$D$10="Avalanche",Calc!$B$3,Calc!$B$2)),Calc!$B$19=0),"",IF(N(AH74)&lt;=0.005,"",IF(Start!$D$10="Avalanche",INDEX(Calc!HA$75:HA$89,Calc!$F$19),INDEX(Calc!HA$50:HA$64,Calc!$D$19))))</f>
        <v/>
      </c>
      <c r="AI75" s="20">
        <f>IF(AJ75="","",N(AJ74)*(1+Start!$E$28/12)-AJ75)</f>
        <v/>
      </c>
      <c r="AJ75" s="20">
        <f>IF(OR(OR(Calc!$B$4=0,$B75&gt;IF(Start!$D$10="Avalanche",Calc!$B$3,Calc!$B$2)),Calc!$B$20=0),"",IF(N(AJ74)&lt;=0.005,"",IF(Start!$D$10="Avalanche",INDEX(Calc!HA$75:HA$89,Calc!$F$20),INDEX(Calc!HA$50:HA$64,Calc!$D$20))))</f>
        <v/>
      </c>
    </row>
    <row r="76">
      <c r="B76" s="17" t="n">
        <v>70</v>
      </c>
      <c r="C76" s="19">
        <f>IF(Calc!$B$4=0,"",EDATE(Start!$D$11,69))</f>
        <v/>
      </c>
      <c r="D76" s="20">
        <f>IF(OR(Calc!$B$4=0,$B76&gt;IF(Start!$D$10="Avalanche",Calc!$B$3,Calc!$B$2)),"",SUM(G76,I76,K76,M76,O76,Q76,S76,U76,W76,Y76,AA76,AC76,AE76,AG76,AI76))</f>
        <v/>
      </c>
      <c r="E76" s="20">
        <f>IF(OR(Calc!$B$4=0,$B76&gt;IF(Start!$D$10="Avalanche",Calc!$B$3,Calc!$B$2)),"",IF(Start!$D$10="Avalanche",Calc!HB$72,Calc!HB$47))</f>
        <v/>
      </c>
      <c r="F76" s="21">
        <f>IF(Calc!$B$4=0,"",IF($B76&gt;IF(Start!$D$10="Avalanche",Calc!$B$3,Calc!$B$2),NA(),SUM(H76,J76,L76,N76,P76,R76,T76,V76,X76,Z76,AB76,AD76,AF76,AH76,AJ76)))</f>
        <v/>
      </c>
      <c r="G76" s="20">
        <f>IF(H76="","",N(H75)*(1+Start!$E$14/12)-H76)</f>
        <v/>
      </c>
      <c r="H76" s="20">
        <f>IF(OR(OR(Calc!$B$4=0,$B76&gt;IF(Start!$D$10="Avalanche",Calc!$B$3,Calc!$B$2)),Calc!$B$6=0),"",IF(N(H75)&lt;=0.005,"",IF(Start!$D$10="Avalanche",INDEX(Calc!HD$75:HD$89,Calc!$F$6),INDEX(Calc!HD$50:HD$64,Calc!$D$6))))</f>
        <v/>
      </c>
      <c r="I76" s="20">
        <f>IF(J76="","",N(J75)*(1+Start!$E$15/12)-J76)</f>
        <v/>
      </c>
      <c r="J76" s="20">
        <f>IF(OR(OR(Calc!$B$4=0,$B76&gt;IF(Start!$D$10="Avalanche",Calc!$B$3,Calc!$B$2)),Calc!$B$7=0),"",IF(N(J75)&lt;=0.005,"",IF(Start!$D$10="Avalanche",INDEX(Calc!HD$75:HD$89,Calc!$F$7),INDEX(Calc!HD$50:HD$64,Calc!$D$7))))</f>
        <v/>
      </c>
      <c r="K76" s="20">
        <f>IF(L76="","",N(L75)*(1+Start!$E$16/12)-L76)</f>
        <v/>
      </c>
      <c r="L76" s="20">
        <f>IF(OR(OR(Calc!$B$4=0,$B76&gt;IF(Start!$D$10="Avalanche",Calc!$B$3,Calc!$B$2)),Calc!$B$8=0),"",IF(N(L75)&lt;=0.005,"",IF(Start!$D$10="Avalanche",INDEX(Calc!HD$75:HD$89,Calc!$F$8),INDEX(Calc!HD$50:HD$64,Calc!$D$8))))</f>
        <v/>
      </c>
      <c r="M76" s="20">
        <f>IF(N76="","",N(N75)*(1+Start!$E$17/12)-N76)</f>
        <v/>
      </c>
      <c r="N76" s="20">
        <f>IF(OR(OR(Calc!$B$4=0,$B76&gt;IF(Start!$D$10="Avalanche",Calc!$B$3,Calc!$B$2)),Calc!$B$9=0),"",IF(N(N75)&lt;=0.005,"",IF(Start!$D$10="Avalanche",INDEX(Calc!HD$75:HD$89,Calc!$F$9),INDEX(Calc!HD$50:HD$64,Calc!$D$9))))</f>
        <v/>
      </c>
      <c r="O76" s="20">
        <f>IF(P76="","",N(P75)*(1+Start!$E$18/12)-P76)</f>
        <v/>
      </c>
      <c r="P76" s="20">
        <f>IF(OR(OR(Calc!$B$4=0,$B76&gt;IF(Start!$D$10="Avalanche",Calc!$B$3,Calc!$B$2)),Calc!$B$10=0),"",IF(N(P75)&lt;=0.005,"",IF(Start!$D$10="Avalanche",INDEX(Calc!HD$75:HD$89,Calc!$F$10),INDEX(Calc!HD$50:HD$64,Calc!$D$10))))</f>
        <v/>
      </c>
      <c r="Q76" s="20">
        <f>IF(R76="","",N(R75)*(1+Start!$E$19/12)-R76)</f>
        <v/>
      </c>
      <c r="R76" s="20">
        <f>IF(OR(OR(Calc!$B$4=0,$B76&gt;IF(Start!$D$10="Avalanche",Calc!$B$3,Calc!$B$2)),Calc!$B$11=0),"",IF(N(R75)&lt;=0.005,"",IF(Start!$D$10="Avalanche",INDEX(Calc!HD$75:HD$89,Calc!$F$11),INDEX(Calc!HD$50:HD$64,Calc!$D$11))))</f>
        <v/>
      </c>
      <c r="S76" s="20">
        <f>IF(T76="","",N(T75)*(1+Start!$E$20/12)-T76)</f>
        <v/>
      </c>
      <c r="T76" s="20">
        <f>IF(OR(OR(Calc!$B$4=0,$B76&gt;IF(Start!$D$10="Avalanche",Calc!$B$3,Calc!$B$2)),Calc!$B$12=0),"",IF(N(T75)&lt;=0.005,"",IF(Start!$D$10="Avalanche",INDEX(Calc!HD$75:HD$89,Calc!$F$12),INDEX(Calc!HD$50:HD$64,Calc!$D$12))))</f>
        <v/>
      </c>
      <c r="U76" s="20">
        <f>IF(V76="","",N(V75)*(1+Start!$E$21/12)-V76)</f>
        <v/>
      </c>
      <c r="V76" s="20">
        <f>IF(OR(OR(Calc!$B$4=0,$B76&gt;IF(Start!$D$10="Avalanche",Calc!$B$3,Calc!$B$2)),Calc!$B$13=0),"",IF(N(V75)&lt;=0.005,"",IF(Start!$D$10="Avalanche",INDEX(Calc!HD$75:HD$89,Calc!$F$13),INDEX(Calc!HD$50:HD$64,Calc!$D$13))))</f>
        <v/>
      </c>
      <c r="W76" s="20">
        <f>IF(X76="","",N(X75)*(1+Start!$E$22/12)-X76)</f>
        <v/>
      </c>
      <c r="X76" s="20">
        <f>IF(OR(OR(Calc!$B$4=0,$B76&gt;IF(Start!$D$10="Avalanche",Calc!$B$3,Calc!$B$2)),Calc!$B$14=0),"",IF(N(X75)&lt;=0.005,"",IF(Start!$D$10="Avalanche",INDEX(Calc!HD$75:HD$89,Calc!$F$14),INDEX(Calc!HD$50:HD$64,Calc!$D$14))))</f>
        <v/>
      </c>
      <c r="Y76" s="20">
        <f>IF(Z76="","",N(Z75)*(1+Start!$E$23/12)-Z76)</f>
        <v/>
      </c>
      <c r="Z76" s="20">
        <f>IF(OR(OR(Calc!$B$4=0,$B76&gt;IF(Start!$D$10="Avalanche",Calc!$B$3,Calc!$B$2)),Calc!$B$15=0),"",IF(N(Z75)&lt;=0.005,"",IF(Start!$D$10="Avalanche",INDEX(Calc!HD$75:HD$89,Calc!$F$15),INDEX(Calc!HD$50:HD$64,Calc!$D$15))))</f>
        <v/>
      </c>
      <c r="AA76" s="20">
        <f>IF(AB76="","",N(AB75)*(1+Start!$E$24/12)-AB76)</f>
        <v/>
      </c>
      <c r="AB76" s="20">
        <f>IF(OR(OR(Calc!$B$4=0,$B76&gt;IF(Start!$D$10="Avalanche",Calc!$B$3,Calc!$B$2)),Calc!$B$16=0),"",IF(N(AB75)&lt;=0.005,"",IF(Start!$D$10="Avalanche",INDEX(Calc!HD$75:HD$89,Calc!$F$16),INDEX(Calc!HD$50:HD$64,Calc!$D$16))))</f>
        <v/>
      </c>
      <c r="AC76" s="20">
        <f>IF(AD76="","",N(AD75)*(1+Start!$E$25/12)-AD76)</f>
        <v/>
      </c>
      <c r="AD76" s="20">
        <f>IF(OR(OR(Calc!$B$4=0,$B76&gt;IF(Start!$D$10="Avalanche",Calc!$B$3,Calc!$B$2)),Calc!$B$17=0),"",IF(N(AD75)&lt;=0.005,"",IF(Start!$D$10="Avalanche",INDEX(Calc!HD$75:HD$89,Calc!$F$17),INDEX(Calc!HD$50:HD$64,Calc!$D$17))))</f>
        <v/>
      </c>
      <c r="AE76" s="20">
        <f>IF(AF76="","",N(AF75)*(1+Start!$E$26/12)-AF76)</f>
        <v/>
      </c>
      <c r="AF76" s="20">
        <f>IF(OR(OR(Calc!$B$4=0,$B76&gt;IF(Start!$D$10="Avalanche",Calc!$B$3,Calc!$B$2)),Calc!$B$18=0),"",IF(N(AF75)&lt;=0.005,"",IF(Start!$D$10="Avalanche",INDEX(Calc!HD$75:HD$89,Calc!$F$18),INDEX(Calc!HD$50:HD$64,Calc!$D$18))))</f>
        <v/>
      </c>
      <c r="AG76" s="20">
        <f>IF(AH76="","",N(AH75)*(1+Start!$E$27/12)-AH76)</f>
        <v/>
      </c>
      <c r="AH76" s="20">
        <f>IF(OR(OR(Calc!$B$4=0,$B76&gt;IF(Start!$D$10="Avalanche",Calc!$B$3,Calc!$B$2)),Calc!$B$19=0),"",IF(N(AH75)&lt;=0.005,"",IF(Start!$D$10="Avalanche",INDEX(Calc!HD$75:HD$89,Calc!$F$19),INDEX(Calc!HD$50:HD$64,Calc!$D$19))))</f>
        <v/>
      </c>
      <c r="AI76" s="20">
        <f>IF(AJ76="","",N(AJ75)*(1+Start!$E$28/12)-AJ76)</f>
        <v/>
      </c>
      <c r="AJ76" s="20">
        <f>IF(OR(OR(Calc!$B$4=0,$B76&gt;IF(Start!$D$10="Avalanche",Calc!$B$3,Calc!$B$2)),Calc!$B$20=0),"",IF(N(AJ75)&lt;=0.005,"",IF(Start!$D$10="Avalanche",INDEX(Calc!HD$75:HD$89,Calc!$F$20),INDEX(Calc!HD$50:HD$64,Calc!$D$20))))</f>
        <v/>
      </c>
    </row>
    <row r="77">
      <c r="B77" s="17" t="n">
        <v>71</v>
      </c>
      <c r="C77" s="19">
        <f>IF(Calc!$B$4=0,"",EDATE(Start!$D$11,70))</f>
        <v/>
      </c>
      <c r="D77" s="20">
        <f>IF(OR(Calc!$B$4=0,$B77&gt;IF(Start!$D$10="Avalanche",Calc!$B$3,Calc!$B$2)),"",SUM(G77,I77,K77,M77,O77,Q77,S77,U77,W77,Y77,AA77,AC77,AE77,AG77,AI77))</f>
        <v/>
      </c>
      <c r="E77" s="20">
        <f>IF(OR(Calc!$B$4=0,$B77&gt;IF(Start!$D$10="Avalanche",Calc!$B$3,Calc!$B$2)),"",IF(Start!$D$10="Avalanche",Calc!HE$72,Calc!HE$47))</f>
        <v/>
      </c>
      <c r="F77" s="21">
        <f>IF(Calc!$B$4=0,"",IF($B77&gt;IF(Start!$D$10="Avalanche",Calc!$B$3,Calc!$B$2),NA(),SUM(H77,J77,L77,N77,P77,R77,T77,V77,X77,Z77,AB77,AD77,AF77,AH77,AJ77)))</f>
        <v/>
      </c>
      <c r="G77" s="20">
        <f>IF(H77="","",N(H76)*(1+Start!$E$14/12)-H77)</f>
        <v/>
      </c>
      <c r="H77" s="20">
        <f>IF(OR(OR(Calc!$B$4=0,$B77&gt;IF(Start!$D$10="Avalanche",Calc!$B$3,Calc!$B$2)),Calc!$B$6=0),"",IF(N(H76)&lt;=0.005,"",IF(Start!$D$10="Avalanche",INDEX(Calc!HG$75:HG$89,Calc!$F$6),INDEX(Calc!HG$50:HG$64,Calc!$D$6))))</f>
        <v/>
      </c>
      <c r="I77" s="20">
        <f>IF(J77="","",N(J76)*(1+Start!$E$15/12)-J77)</f>
        <v/>
      </c>
      <c r="J77" s="20">
        <f>IF(OR(OR(Calc!$B$4=0,$B77&gt;IF(Start!$D$10="Avalanche",Calc!$B$3,Calc!$B$2)),Calc!$B$7=0),"",IF(N(J76)&lt;=0.005,"",IF(Start!$D$10="Avalanche",INDEX(Calc!HG$75:HG$89,Calc!$F$7),INDEX(Calc!HG$50:HG$64,Calc!$D$7))))</f>
        <v/>
      </c>
      <c r="K77" s="20">
        <f>IF(L77="","",N(L76)*(1+Start!$E$16/12)-L77)</f>
        <v/>
      </c>
      <c r="L77" s="20">
        <f>IF(OR(OR(Calc!$B$4=0,$B77&gt;IF(Start!$D$10="Avalanche",Calc!$B$3,Calc!$B$2)),Calc!$B$8=0),"",IF(N(L76)&lt;=0.005,"",IF(Start!$D$10="Avalanche",INDEX(Calc!HG$75:HG$89,Calc!$F$8),INDEX(Calc!HG$50:HG$64,Calc!$D$8))))</f>
        <v/>
      </c>
      <c r="M77" s="20">
        <f>IF(N77="","",N(N76)*(1+Start!$E$17/12)-N77)</f>
        <v/>
      </c>
      <c r="N77" s="20">
        <f>IF(OR(OR(Calc!$B$4=0,$B77&gt;IF(Start!$D$10="Avalanche",Calc!$B$3,Calc!$B$2)),Calc!$B$9=0),"",IF(N(N76)&lt;=0.005,"",IF(Start!$D$10="Avalanche",INDEX(Calc!HG$75:HG$89,Calc!$F$9),INDEX(Calc!HG$50:HG$64,Calc!$D$9))))</f>
        <v/>
      </c>
      <c r="O77" s="20">
        <f>IF(P77="","",N(P76)*(1+Start!$E$18/12)-P77)</f>
        <v/>
      </c>
      <c r="P77" s="20">
        <f>IF(OR(OR(Calc!$B$4=0,$B77&gt;IF(Start!$D$10="Avalanche",Calc!$B$3,Calc!$B$2)),Calc!$B$10=0),"",IF(N(P76)&lt;=0.005,"",IF(Start!$D$10="Avalanche",INDEX(Calc!HG$75:HG$89,Calc!$F$10),INDEX(Calc!HG$50:HG$64,Calc!$D$10))))</f>
        <v/>
      </c>
      <c r="Q77" s="20">
        <f>IF(R77="","",N(R76)*(1+Start!$E$19/12)-R77)</f>
        <v/>
      </c>
      <c r="R77" s="20">
        <f>IF(OR(OR(Calc!$B$4=0,$B77&gt;IF(Start!$D$10="Avalanche",Calc!$B$3,Calc!$B$2)),Calc!$B$11=0),"",IF(N(R76)&lt;=0.005,"",IF(Start!$D$10="Avalanche",INDEX(Calc!HG$75:HG$89,Calc!$F$11),INDEX(Calc!HG$50:HG$64,Calc!$D$11))))</f>
        <v/>
      </c>
      <c r="S77" s="20">
        <f>IF(T77="","",N(T76)*(1+Start!$E$20/12)-T77)</f>
        <v/>
      </c>
      <c r="T77" s="20">
        <f>IF(OR(OR(Calc!$B$4=0,$B77&gt;IF(Start!$D$10="Avalanche",Calc!$B$3,Calc!$B$2)),Calc!$B$12=0),"",IF(N(T76)&lt;=0.005,"",IF(Start!$D$10="Avalanche",INDEX(Calc!HG$75:HG$89,Calc!$F$12),INDEX(Calc!HG$50:HG$64,Calc!$D$12))))</f>
        <v/>
      </c>
      <c r="U77" s="20">
        <f>IF(V77="","",N(V76)*(1+Start!$E$21/12)-V77)</f>
        <v/>
      </c>
      <c r="V77" s="20">
        <f>IF(OR(OR(Calc!$B$4=0,$B77&gt;IF(Start!$D$10="Avalanche",Calc!$B$3,Calc!$B$2)),Calc!$B$13=0),"",IF(N(V76)&lt;=0.005,"",IF(Start!$D$10="Avalanche",INDEX(Calc!HG$75:HG$89,Calc!$F$13),INDEX(Calc!HG$50:HG$64,Calc!$D$13))))</f>
        <v/>
      </c>
      <c r="W77" s="20">
        <f>IF(X77="","",N(X76)*(1+Start!$E$22/12)-X77)</f>
        <v/>
      </c>
      <c r="X77" s="20">
        <f>IF(OR(OR(Calc!$B$4=0,$B77&gt;IF(Start!$D$10="Avalanche",Calc!$B$3,Calc!$B$2)),Calc!$B$14=0),"",IF(N(X76)&lt;=0.005,"",IF(Start!$D$10="Avalanche",INDEX(Calc!HG$75:HG$89,Calc!$F$14),INDEX(Calc!HG$50:HG$64,Calc!$D$14))))</f>
        <v/>
      </c>
      <c r="Y77" s="20">
        <f>IF(Z77="","",N(Z76)*(1+Start!$E$23/12)-Z77)</f>
        <v/>
      </c>
      <c r="Z77" s="20">
        <f>IF(OR(OR(Calc!$B$4=0,$B77&gt;IF(Start!$D$10="Avalanche",Calc!$B$3,Calc!$B$2)),Calc!$B$15=0),"",IF(N(Z76)&lt;=0.005,"",IF(Start!$D$10="Avalanche",INDEX(Calc!HG$75:HG$89,Calc!$F$15),INDEX(Calc!HG$50:HG$64,Calc!$D$15))))</f>
        <v/>
      </c>
      <c r="AA77" s="20">
        <f>IF(AB77="","",N(AB76)*(1+Start!$E$24/12)-AB77)</f>
        <v/>
      </c>
      <c r="AB77" s="20">
        <f>IF(OR(OR(Calc!$B$4=0,$B77&gt;IF(Start!$D$10="Avalanche",Calc!$B$3,Calc!$B$2)),Calc!$B$16=0),"",IF(N(AB76)&lt;=0.005,"",IF(Start!$D$10="Avalanche",INDEX(Calc!HG$75:HG$89,Calc!$F$16),INDEX(Calc!HG$50:HG$64,Calc!$D$16))))</f>
        <v/>
      </c>
      <c r="AC77" s="20">
        <f>IF(AD77="","",N(AD76)*(1+Start!$E$25/12)-AD77)</f>
        <v/>
      </c>
      <c r="AD77" s="20">
        <f>IF(OR(OR(Calc!$B$4=0,$B77&gt;IF(Start!$D$10="Avalanche",Calc!$B$3,Calc!$B$2)),Calc!$B$17=0),"",IF(N(AD76)&lt;=0.005,"",IF(Start!$D$10="Avalanche",INDEX(Calc!HG$75:HG$89,Calc!$F$17),INDEX(Calc!HG$50:HG$64,Calc!$D$17))))</f>
        <v/>
      </c>
      <c r="AE77" s="20">
        <f>IF(AF77="","",N(AF76)*(1+Start!$E$26/12)-AF77)</f>
        <v/>
      </c>
      <c r="AF77" s="20">
        <f>IF(OR(OR(Calc!$B$4=0,$B77&gt;IF(Start!$D$10="Avalanche",Calc!$B$3,Calc!$B$2)),Calc!$B$18=0),"",IF(N(AF76)&lt;=0.005,"",IF(Start!$D$10="Avalanche",INDEX(Calc!HG$75:HG$89,Calc!$F$18),INDEX(Calc!HG$50:HG$64,Calc!$D$18))))</f>
        <v/>
      </c>
      <c r="AG77" s="20">
        <f>IF(AH77="","",N(AH76)*(1+Start!$E$27/12)-AH77)</f>
        <v/>
      </c>
      <c r="AH77" s="20">
        <f>IF(OR(OR(Calc!$B$4=0,$B77&gt;IF(Start!$D$10="Avalanche",Calc!$B$3,Calc!$B$2)),Calc!$B$19=0),"",IF(N(AH76)&lt;=0.005,"",IF(Start!$D$10="Avalanche",INDEX(Calc!HG$75:HG$89,Calc!$F$19),INDEX(Calc!HG$50:HG$64,Calc!$D$19))))</f>
        <v/>
      </c>
      <c r="AI77" s="20">
        <f>IF(AJ77="","",N(AJ76)*(1+Start!$E$28/12)-AJ77)</f>
        <v/>
      </c>
      <c r="AJ77" s="20">
        <f>IF(OR(OR(Calc!$B$4=0,$B77&gt;IF(Start!$D$10="Avalanche",Calc!$B$3,Calc!$B$2)),Calc!$B$20=0),"",IF(N(AJ76)&lt;=0.005,"",IF(Start!$D$10="Avalanche",INDEX(Calc!HG$75:HG$89,Calc!$F$20),INDEX(Calc!HG$50:HG$64,Calc!$D$20))))</f>
        <v/>
      </c>
    </row>
    <row r="78">
      <c r="B78" s="17" t="n">
        <v>72</v>
      </c>
      <c r="C78" s="19">
        <f>IF(Calc!$B$4=0,"",EDATE(Start!$D$11,71))</f>
        <v/>
      </c>
      <c r="D78" s="20">
        <f>IF(OR(Calc!$B$4=0,$B78&gt;IF(Start!$D$10="Avalanche",Calc!$B$3,Calc!$B$2)),"",SUM(G78,I78,K78,M78,O78,Q78,S78,U78,W78,Y78,AA78,AC78,AE78,AG78,AI78))</f>
        <v/>
      </c>
      <c r="E78" s="20">
        <f>IF(OR(Calc!$B$4=0,$B78&gt;IF(Start!$D$10="Avalanche",Calc!$B$3,Calc!$B$2)),"",IF(Start!$D$10="Avalanche",Calc!HH$72,Calc!HH$47))</f>
        <v/>
      </c>
      <c r="F78" s="21">
        <f>IF(Calc!$B$4=0,"",IF($B78&gt;IF(Start!$D$10="Avalanche",Calc!$B$3,Calc!$B$2),NA(),SUM(H78,J78,L78,N78,P78,R78,T78,V78,X78,Z78,AB78,AD78,AF78,AH78,AJ78)))</f>
        <v/>
      </c>
      <c r="G78" s="20">
        <f>IF(H78="","",N(H77)*(1+Start!$E$14/12)-H78)</f>
        <v/>
      </c>
      <c r="H78" s="20">
        <f>IF(OR(OR(Calc!$B$4=0,$B78&gt;IF(Start!$D$10="Avalanche",Calc!$B$3,Calc!$B$2)),Calc!$B$6=0),"",IF(N(H77)&lt;=0.005,"",IF(Start!$D$10="Avalanche",INDEX(Calc!HJ$75:HJ$89,Calc!$F$6),INDEX(Calc!HJ$50:HJ$64,Calc!$D$6))))</f>
        <v/>
      </c>
      <c r="I78" s="20">
        <f>IF(J78="","",N(J77)*(1+Start!$E$15/12)-J78)</f>
        <v/>
      </c>
      <c r="J78" s="20">
        <f>IF(OR(OR(Calc!$B$4=0,$B78&gt;IF(Start!$D$10="Avalanche",Calc!$B$3,Calc!$B$2)),Calc!$B$7=0),"",IF(N(J77)&lt;=0.005,"",IF(Start!$D$10="Avalanche",INDEX(Calc!HJ$75:HJ$89,Calc!$F$7),INDEX(Calc!HJ$50:HJ$64,Calc!$D$7))))</f>
        <v/>
      </c>
      <c r="K78" s="20">
        <f>IF(L78="","",N(L77)*(1+Start!$E$16/12)-L78)</f>
        <v/>
      </c>
      <c r="L78" s="20">
        <f>IF(OR(OR(Calc!$B$4=0,$B78&gt;IF(Start!$D$10="Avalanche",Calc!$B$3,Calc!$B$2)),Calc!$B$8=0),"",IF(N(L77)&lt;=0.005,"",IF(Start!$D$10="Avalanche",INDEX(Calc!HJ$75:HJ$89,Calc!$F$8),INDEX(Calc!HJ$50:HJ$64,Calc!$D$8))))</f>
        <v/>
      </c>
      <c r="M78" s="20">
        <f>IF(N78="","",N(N77)*(1+Start!$E$17/12)-N78)</f>
        <v/>
      </c>
      <c r="N78" s="20">
        <f>IF(OR(OR(Calc!$B$4=0,$B78&gt;IF(Start!$D$10="Avalanche",Calc!$B$3,Calc!$B$2)),Calc!$B$9=0),"",IF(N(N77)&lt;=0.005,"",IF(Start!$D$10="Avalanche",INDEX(Calc!HJ$75:HJ$89,Calc!$F$9),INDEX(Calc!HJ$50:HJ$64,Calc!$D$9))))</f>
        <v/>
      </c>
      <c r="O78" s="20">
        <f>IF(P78="","",N(P77)*(1+Start!$E$18/12)-P78)</f>
        <v/>
      </c>
      <c r="P78" s="20">
        <f>IF(OR(OR(Calc!$B$4=0,$B78&gt;IF(Start!$D$10="Avalanche",Calc!$B$3,Calc!$B$2)),Calc!$B$10=0),"",IF(N(P77)&lt;=0.005,"",IF(Start!$D$10="Avalanche",INDEX(Calc!HJ$75:HJ$89,Calc!$F$10),INDEX(Calc!HJ$50:HJ$64,Calc!$D$10))))</f>
        <v/>
      </c>
      <c r="Q78" s="20">
        <f>IF(R78="","",N(R77)*(1+Start!$E$19/12)-R78)</f>
        <v/>
      </c>
      <c r="R78" s="20">
        <f>IF(OR(OR(Calc!$B$4=0,$B78&gt;IF(Start!$D$10="Avalanche",Calc!$B$3,Calc!$B$2)),Calc!$B$11=0),"",IF(N(R77)&lt;=0.005,"",IF(Start!$D$10="Avalanche",INDEX(Calc!HJ$75:HJ$89,Calc!$F$11),INDEX(Calc!HJ$50:HJ$64,Calc!$D$11))))</f>
        <v/>
      </c>
      <c r="S78" s="20">
        <f>IF(T78="","",N(T77)*(1+Start!$E$20/12)-T78)</f>
        <v/>
      </c>
      <c r="T78" s="20">
        <f>IF(OR(OR(Calc!$B$4=0,$B78&gt;IF(Start!$D$10="Avalanche",Calc!$B$3,Calc!$B$2)),Calc!$B$12=0),"",IF(N(T77)&lt;=0.005,"",IF(Start!$D$10="Avalanche",INDEX(Calc!HJ$75:HJ$89,Calc!$F$12),INDEX(Calc!HJ$50:HJ$64,Calc!$D$12))))</f>
        <v/>
      </c>
      <c r="U78" s="20">
        <f>IF(V78="","",N(V77)*(1+Start!$E$21/12)-V78)</f>
        <v/>
      </c>
      <c r="V78" s="20">
        <f>IF(OR(OR(Calc!$B$4=0,$B78&gt;IF(Start!$D$10="Avalanche",Calc!$B$3,Calc!$B$2)),Calc!$B$13=0),"",IF(N(V77)&lt;=0.005,"",IF(Start!$D$10="Avalanche",INDEX(Calc!HJ$75:HJ$89,Calc!$F$13),INDEX(Calc!HJ$50:HJ$64,Calc!$D$13))))</f>
        <v/>
      </c>
      <c r="W78" s="20">
        <f>IF(X78="","",N(X77)*(1+Start!$E$22/12)-X78)</f>
        <v/>
      </c>
      <c r="X78" s="20">
        <f>IF(OR(OR(Calc!$B$4=0,$B78&gt;IF(Start!$D$10="Avalanche",Calc!$B$3,Calc!$B$2)),Calc!$B$14=0),"",IF(N(X77)&lt;=0.005,"",IF(Start!$D$10="Avalanche",INDEX(Calc!HJ$75:HJ$89,Calc!$F$14),INDEX(Calc!HJ$50:HJ$64,Calc!$D$14))))</f>
        <v/>
      </c>
      <c r="Y78" s="20">
        <f>IF(Z78="","",N(Z77)*(1+Start!$E$23/12)-Z78)</f>
        <v/>
      </c>
      <c r="Z78" s="20">
        <f>IF(OR(OR(Calc!$B$4=0,$B78&gt;IF(Start!$D$10="Avalanche",Calc!$B$3,Calc!$B$2)),Calc!$B$15=0),"",IF(N(Z77)&lt;=0.005,"",IF(Start!$D$10="Avalanche",INDEX(Calc!HJ$75:HJ$89,Calc!$F$15),INDEX(Calc!HJ$50:HJ$64,Calc!$D$15))))</f>
        <v/>
      </c>
      <c r="AA78" s="20">
        <f>IF(AB78="","",N(AB77)*(1+Start!$E$24/12)-AB78)</f>
        <v/>
      </c>
      <c r="AB78" s="20">
        <f>IF(OR(OR(Calc!$B$4=0,$B78&gt;IF(Start!$D$10="Avalanche",Calc!$B$3,Calc!$B$2)),Calc!$B$16=0),"",IF(N(AB77)&lt;=0.005,"",IF(Start!$D$10="Avalanche",INDEX(Calc!HJ$75:HJ$89,Calc!$F$16),INDEX(Calc!HJ$50:HJ$64,Calc!$D$16))))</f>
        <v/>
      </c>
      <c r="AC78" s="20">
        <f>IF(AD78="","",N(AD77)*(1+Start!$E$25/12)-AD78)</f>
        <v/>
      </c>
      <c r="AD78" s="20">
        <f>IF(OR(OR(Calc!$B$4=0,$B78&gt;IF(Start!$D$10="Avalanche",Calc!$B$3,Calc!$B$2)),Calc!$B$17=0),"",IF(N(AD77)&lt;=0.005,"",IF(Start!$D$10="Avalanche",INDEX(Calc!HJ$75:HJ$89,Calc!$F$17),INDEX(Calc!HJ$50:HJ$64,Calc!$D$17))))</f>
        <v/>
      </c>
      <c r="AE78" s="20">
        <f>IF(AF78="","",N(AF77)*(1+Start!$E$26/12)-AF78)</f>
        <v/>
      </c>
      <c r="AF78" s="20">
        <f>IF(OR(OR(Calc!$B$4=0,$B78&gt;IF(Start!$D$10="Avalanche",Calc!$B$3,Calc!$B$2)),Calc!$B$18=0),"",IF(N(AF77)&lt;=0.005,"",IF(Start!$D$10="Avalanche",INDEX(Calc!HJ$75:HJ$89,Calc!$F$18),INDEX(Calc!HJ$50:HJ$64,Calc!$D$18))))</f>
        <v/>
      </c>
      <c r="AG78" s="20">
        <f>IF(AH78="","",N(AH77)*(1+Start!$E$27/12)-AH78)</f>
        <v/>
      </c>
      <c r="AH78" s="20">
        <f>IF(OR(OR(Calc!$B$4=0,$B78&gt;IF(Start!$D$10="Avalanche",Calc!$B$3,Calc!$B$2)),Calc!$B$19=0),"",IF(N(AH77)&lt;=0.005,"",IF(Start!$D$10="Avalanche",INDEX(Calc!HJ$75:HJ$89,Calc!$F$19),INDEX(Calc!HJ$50:HJ$64,Calc!$D$19))))</f>
        <v/>
      </c>
      <c r="AI78" s="20">
        <f>IF(AJ78="","",N(AJ77)*(1+Start!$E$28/12)-AJ78)</f>
        <v/>
      </c>
      <c r="AJ78" s="20">
        <f>IF(OR(OR(Calc!$B$4=0,$B78&gt;IF(Start!$D$10="Avalanche",Calc!$B$3,Calc!$B$2)),Calc!$B$20=0),"",IF(N(AJ77)&lt;=0.005,"",IF(Start!$D$10="Avalanche",INDEX(Calc!HJ$75:HJ$89,Calc!$F$20),INDEX(Calc!HJ$50:HJ$64,Calc!$D$20))))</f>
        <v/>
      </c>
    </row>
    <row r="79">
      <c r="B79" s="17" t="n">
        <v>73</v>
      </c>
      <c r="C79" s="19">
        <f>IF(Calc!$B$4=0,"",EDATE(Start!$D$11,72))</f>
        <v/>
      </c>
      <c r="D79" s="20">
        <f>IF(OR(Calc!$B$4=0,$B79&gt;IF(Start!$D$10="Avalanche",Calc!$B$3,Calc!$B$2)),"",SUM(G79,I79,K79,M79,O79,Q79,S79,U79,W79,Y79,AA79,AC79,AE79,AG79,AI79))</f>
        <v/>
      </c>
      <c r="E79" s="20">
        <f>IF(OR(Calc!$B$4=0,$B79&gt;IF(Start!$D$10="Avalanche",Calc!$B$3,Calc!$B$2)),"",IF(Start!$D$10="Avalanche",Calc!HK$72,Calc!HK$47))</f>
        <v/>
      </c>
      <c r="F79" s="21">
        <f>IF(Calc!$B$4=0,"",IF($B79&gt;IF(Start!$D$10="Avalanche",Calc!$B$3,Calc!$B$2),NA(),SUM(H79,J79,L79,N79,P79,R79,T79,V79,X79,Z79,AB79,AD79,AF79,AH79,AJ79)))</f>
        <v/>
      </c>
      <c r="G79" s="20">
        <f>IF(H79="","",N(H78)*(1+Start!$E$14/12)-H79)</f>
        <v/>
      </c>
      <c r="H79" s="20">
        <f>IF(OR(OR(Calc!$B$4=0,$B79&gt;IF(Start!$D$10="Avalanche",Calc!$B$3,Calc!$B$2)),Calc!$B$6=0),"",IF(N(H78)&lt;=0.005,"",IF(Start!$D$10="Avalanche",INDEX(Calc!HM$75:HM$89,Calc!$F$6),INDEX(Calc!HM$50:HM$64,Calc!$D$6))))</f>
        <v/>
      </c>
      <c r="I79" s="20">
        <f>IF(J79="","",N(J78)*(1+Start!$E$15/12)-J79)</f>
        <v/>
      </c>
      <c r="J79" s="20">
        <f>IF(OR(OR(Calc!$B$4=0,$B79&gt;IF(Start!$D$10="Avalanche",Calc!$B$3,Calc!$B$2)),Calc!$B$7=0),"",IF(N(J78)&lt;=0.005,"",IF(Start!$D$10="Avalanche",INDEX(Calc!HM$75:HM$89,Calc!$F$7),INDEX(Calc!HM$50:HM$64,Calc!$D$7))))</f>
        <v/>
      </c>
      <c r="K79" s="20">
        <f>IF(L79="","",N(L78)*(1+Start!$E$16/12)-L79)</f>
        <v/>
      </c>
      <c r="L79" s="20">
        <f>IF(OR(OR(Calc!$B$4=0,$B79&gt;IF(Start!$D$10="Avalanche",Calc!$B$3,Calc!$B$2)),Calc!$B$8=0),"",IF(N(L78)&lt;=0.005,"",IF(Start!$D$10="Avalanche",INDEX(Calc!HM$75:HM$89,Calc!$F$8),INDEX(Calc!HM$50:HM$64,Calc!$D$8))))</f>
        <v/>
      </c>
      <c r="M79" s="20">
        <f>IF(N79="","",N(N78)*(1+Start!$E$17/12)-N79)</f>
        <v/>
      </c>
      <c r="N79" s="20">
        <f>IF(OR(OR(Calc!$B$4=0,$B79&gt;IF(Start!$D$10="Avalanche",Calc!$B$3,Calc!$B$2)),Calc!$B$9=0),"",IF(N(N78)&lt;=0.005,"",IF(Start!$D$10="Avalanche",INDEX(Calc!HM$75:HM$89,Calc!$F$9),INDEX(Calc!HM$50:HM$64,Calc!$D$9))))</f>
        <v/>
      </c>
      <c r="O79" s="20">
        <f>IF(P79="","",N(P78)*(1+Start!$E$18/12)-P79)</f>
        <v/>
      </c>
      <c r="P79" s="20">
        <f>IF(OR(OR(Calc!$B$4=0,$B79&gt;IF(Start!$D$10="Avalanche",Calc!$B$3,Calc!$B$2)),Calc!$B$10=0),"",IF(N(P78)&lt;=0.005,"",IF(Start!$D$10="Avalanche",INDEX(Calc!HM$75:HM$89,Calc!$F$10),INDEX(Calc!HM$50:HM$64,Calc!$D$10))))</f>
        <v/>
      </c>
      <c r="Q79" s="20">
        <f>IF(R79="","",N(R78)*(1+Start!$E$19/12)-R79)</f>
        <v/>
      </c>
      <c r="R79" s="20">
        <f>IF(OR(OR(Calc!$B$4=0,$B79&gt;IF(Start!$D$10="Avalanche",Calc!$B$3,Calc!$B$2)),Calc!$B$11=0),"",IF(N(R78)&lt;=0.005,"",IF(Start!$D$10="Avalanche",INDEX(Calc!HM$75:HM$89,Calc!$F$11),INDEX(Calc!HM$50:HM$64,Calc!$D$11))))</f>
        <v/>
      </c>
      <c r="S79" s="20">
        <f>IF(T79="","",N(T78)*(1+Start!$E$20/12)-T79)</f>
        <v/>
      </c>
      <c r="T79" s="20">
        <f>IF(OR(OR(Calc!$B$4=0,$B79&gt;IF(Start!$D$10="Avalanche",Calc!$B$3,Calc!$B$2)),Calc!$B$12=0),"",IF(N(T78)&lt;=0.005,"",IF(Start!$D$10="Avalanche",INDEX(Calc!HM$75:HM$89,Calc!$F$12),INDEX(Calc!HM$50:HM$64,Calc!$D$12))))</f>
        <v/>
      </c>
      <c r="U79" s="20">
        <f>IF(V79="","",N(V78)*(1+Start!$E$21/12)-V79)</f>
        <v/>
      </c>
      <c r="V79" s="20">
        <f>IF(OR(OR(Calc!$B$4=0,$B79&gt;IF(Start!$D$10="Avalanche",Calc!$B$3,Calc!$B$2)),Calc!$B$13=0),"",IF(N(V78)&lt;=0.005,"",IF(Start!$D$10="Avalanche",INDEX(Calc!HM$75:HM$89,Calc!$F$13),INDEX(Calc!HM$50:HM$64,Calc!$D$13))))</f>
        <v/>
      </c>
      <c r="W79" s="20">
        <f>IF(X79="","",N(X78)*(1+Start!$E$22/12)-X79)</f>
        <v/>
      </c>
      <c r="X79" s="20">
        <f>IF(OR(OR(Calc!$B$4=0,$B79&gt;IF(Start!$D$10="Avalanche",Calc!$B$3,Calc!$B$2)),Calc!$B$14=0),"",IF(N(X78)&lt;=0.005,"",IF(Start!$D$10="Avalanche",INDEX(Calc!HM$75:HM$89,Calc!$F$14),INDEX(Calc!HM$50:HM$64,Calc!$D$14))))</f>
        <v/>
      </c>
      <c r="Y79" s="20">
        <f>IF(Z79="","",N(Z78)*(1+Start!$E$23/12)-Z79)</f>
        <v/>
      </c>
      <c r="Z79" s="20">
        <f>IF(OR(OR(Calc!$B$4=0,$B79&gt;IF(Start!$D$10="Avalanche",Calc!$B$3,Calc!$B$2)),Calc!$B$15=0),"",IF(N(Z78)&lt;=0.005,"",IF(Start!$D$10="Avalanche",INDEX(Calc!HM$75:HM$89,Calc!$F$15),INDEX(Calc!HM$50:HM$64,Calc!$D$15))))</f>
        <v/>
      </c>
      <c r="AA79" s="20">
        <f>IF(AB79="","",N(AB78)*(1+Start!$E$24/12)-AB79)</f>
        <v/>
      </c>
      <c r="AB79" s="20">
        <f>IF(OR(OR(Calc!$B$4=0,$B79&gt;IF(Start!$D$10="Avalanche",Calc!$B$3,Calc!$B$2)),Calc!$B$16=0),"",IF(N(AB78)&lt;=0.005,"",IF(Start!$D$10="Avalanche",INDEX(Calc!HM$75:HM$89,Calc!$F$16),INDEX(Calc!HM$50:HM$64,Calc!$D$16))))</f>
        <v/>
      </c>
      <c r="AC79" s="20">
        <f>IF(AD79="","",N(AD78)*(1+Start!$E$25/12)-AD79)</f>
        <v/>
      </c>
      <c r="AD79" s="20">
        <f>IF(OR(OR(Calc!$B$4=0,$B79&gt;IF(Start!$D$10="Avalanche",Calc!$B$3,Calc!$B$2)),Calc!$B$17=0),"",IF(N(AD78)&lt;=0.005,"",IF(Start!$D$10="Avalanche",INDEX(Calc!HM$75:HM$89,Calc!$F$17),INDEX(Calc!HM$50:HM$64,Calc!$D$17))))</f>
        <v/>
      </c>
      <c r="AE79" s="20">
        <f>IF(AF79="","",N(AF78)*(1+Start!$E$26/12)-AF79)</f>
        <v/>
      </c>
      <c r="AF79" s="20">
        <f>IF(OR(OR(Calc!$B$4=0,$B79&gt;IF(Start!$D$10="Avalanche",Calc!$B$3,Calc!$B$2)),Calc!$B$18=0),"",IF(N(AF78)&lt;=0.005,"",IF(Start!$D$10="Avalanche",INDEX(Calc!HM$75:HM$89,Calc!$F$18),INDEX(Calc!HM$50:HM$64,Calc!$D$18))))</f>
        <v/>
      </c>
      <c r="AG79" s="20">
        <f>IF(AH79="","",N(AH78)*(1+Start!$E$27/12)-AH79)</f>
        <v/>
      </c>
      <c r="AH79" s="20">
        <f>IF(OR(OR(Calc!$B$4=0,$B79&gt;IF(Start!$D$10="Avalanche",Calc!$B$3,Calc!$B$2)),Calc!$B$19=0),"",IF(N(AH78)&lt;=0.005,"",IF(Start!$D$10="Avalanche",INDEX(Calc!HM$75:HM$89,Calc!$F$19),INDEX(Calc!HM$50:HM$64,Calc!$D$19))))</f>
        <v/>
      </c>
      <c r="AI79" s="20">
        <f>IF(AJ79="","",N(AJ78)*(1+Start!$E$28/12)-AJ79)</f>
        <v/>
      </c>
      <c r="AJ79" s="20">
        <f>IF(OR(OR(Calc!$B$4=0,$B79&gt;IF(Start!$D$10="Avalanche",Calc!$B$3,Calc!$B$2)),Calc!$B$20=0),"",IF(N(AJ78)&lt;=0.005,"",IF(Start!$D$10="Avalanche",INDEX(Calc!HM$75:HM$89,Calc!$F$20),INDEX(Calc!HM$50:HM$64,Calc!$D$20))))</f>
        <v/>
      </c>
    </row>
    <row r="80">
      <c r="B80" s="17" t="n">
        <v>74</v>
      </c>
      <c r="C80" s="19">
        <f>IF(Calc!$B$4=0,"",EDATE(Start!$D$11,73))</f>
        <v/>
      </c>
      <c r="D80" s="20">
        <f>IF(OR(Calc!$B$4=0,$B80&gt;IF(Start!$D$10="Avalanche",Calc!$B$3,Calc!$B$2)),"",SUM(G80,I80,K80,M80,O80,Q80,S80,U80,W80,Y80,AA80,AC80,AE80,AG80,AI80))</f>
        <v/>
      </c>
      <c r="E80" s="20">
        <f>IF(OR(Calc!$B$4=0,$B80&gt;IF(Start!$D$10="Avalanche",Calc!$B$3,Calc!$B$2)),"",IF(Start!$D$10="Avalanche",Calc!HN$72,Calc!HN$47))</f>
        <v/>
      </c>
      <c r="F80" s="21">
        <f>IF(Calc!$B$4=0,"",IF($B80&gt;IF(Start!$D$10="Avalanche",Calc!$B$3,Calc!$B$2),NA(),SUM(H80,J80,L80,N80,P80,R80,T80,V80,X80,Z80,AB80,AD80,AF80,AH80,AJ80)))</f>
        <v/>
      </c>
      <c r="G80" s="20">
        <f>IF(H80="","",N(H79)*(1+Start!$E$14/12)-H80)</f>
        <v/>
      </c>
      <c r="H80" s="20">
        <f>IF(OR(OR(Calc!$B$4=0,$B80&gt;IF(Start!$D$10="Avalanche",Calc!$B$3,Calc!$B$2)),Calc!$B$6=0),"",IF(N(H79)&lt;=0.005,"",IF(Start!$D$10="Avalanche",INDEX(Calc!HP$75:HP$89,Calc!$F$6),INDEX(Calc!HP$50:HP$64,Calc!$D$6))))</f>
        <v/>
      </c>
      <c r="I80" s="20">
        <f>IF(J80="","",N(J79)*(1+Start!$E$15/12)-J80)</f>
        <v/>
      </c>
      <c r="J80" s="20">
        <f>IF(OR(OR(Calc!$B$4=0,$B80&gt;IF(Start!$D$10="Avalanche",Calc!$B$3,Calc!$B$2)),Calc!$B$7=0),"",IF(N(J79)&lt;=0.005,"",IF(Start!$D$10="Avalanche",INDEX(Calc!HP$75:HP$89,Calc!$F$7),INDEX(Calc!HP$50:HP$64,Calc!$D$7))))</f>
        <v/>
      </c>
      <c r="K80" s="20">
        <f>IF(L80="","",N(L79)*(1+Start!$E$16/12)-L80)</f>
        <v/>
      </c>
      <c r="L80" s="20">
        <f>IF(OR(OR(Calc!$B$4=0,$B80&gt;IF(Start!$D$10="Avalanche",Calc!$B$3,Calc!$B$2)),Calc!$B$8=0),"",IF(N(L79)&lt;=0.005,"",IF(Start!$D$10="Avalanche",INDEX(Calc!HP$75:HP$89,Calc!$F$8),INDEX(Calc!HP$50:HP$64,Calc!$D$8))))</f>
        <v/>
      </c>
      <c r="M80" s="20">
        <f>IF(N80="","",N(N79)*(1+Start!$E$17/12)-N80)</f>
        <v/>
      </c>
      <c r="N80" s="20">
        <f>IF(OR(OR(Calc!$B$4=0,$B80&gt;IF(Start!$D$10="Avalanche",Calc!$B$3,Calc!$B$2)),Calc!$B$9=0),"",IF(N(N79)&lt;=0.005,"",IF(Start!$D$10="Avalanche",INDEX(Calc!HP$75:HP$89,Calc!$F$9),INDEX(Calc!HP$50:HP$64,Calc!$D$9))))</f>
        <v/>
      </c>
      <c r="O80" s="20">
        <f>IF(P80="","",N(P79)*(1+Start!$E$18/12)-P80)</f>
        <v/>
      </c>
      <c r="P80" s="20">
        <f>IF(OR(OR(Calc!$B$4=0,$B80&gt;IF(Start!$D$10="Avalanche",Calc!$B$3,Calc!$B$2)),Calc!$B$10=0),"",IF(N(P79)&lt;=0.005,"",IF(Start!$D$10="Avalanche",INDEX(Calc!HP$75:HP$89,Calc!$F$10),INDEX(Calc!HP$50:HP$64,Calc!$D$10))))</f>
        <v/>
      </c>
      <c r="Q80" s="20">
        <f>IF(R80="","",N(R79)*(1+Start!$E$19/12)-R80)</f>
        <v/>
      </c>
      <c r="R80" s="20">
        <f>IF(OR(OR(Calc!$B$4=0,$B80&gt;IF(Start!$D$10="Avalanche",Calc!$B$3,Calc!$B$2)),Calc!$B$11=0),"",IF(N(R79)&lt;=0.005,"",IF(Start!$D$10="Avalanche",INDEX(Calc!HP$75:HP$89,Calc!$F$11),INDEX(Calc!HP$50:HP$64,Calc!$D$11))))</f>
        <v/>
      </c>
      <c r="S80" s="20">
        <f>IF(T80="","",N(T79)*(1+Start!$E$20/12)-T80)</f>
        <v/>
      </c>
      <c r="T80" s="20">
        <f>IF(OR(OR(Calc!$B$4=0,$B80&gt;IF(Start!$D$10="Avalanche",Calc!$B$3,Calc!$B$2)),Calc!$B$12=0),"",IF(N(T79)&lt;=0.005,"",IF(Start!$D$10="Avalanche",INDEX(Calc!HP$75:HP$89,Calc!$F$12),INDEX(Calc!HP$50:HP$64,Calc!$D$12))))</f>
        <v/>
      </c>
      <c r="U80" s="20">
        <f>IF(V80="","",N(V79)*(1+Start!$E$21/12)-V80)</f>
        <v/>
      </c>
      <c r="V80" s="20">
        <f>IF(OR(OR(Calc!$B$4=0,$B80&gt;IF(Start!$D$10="Avalanche",Calc!$B$3,Calc!$B$2)),Calc!$B$13=0),"",IF(N(V79)&lt;=0.005,"",IF(Start!$D$10="Avalanche",INDEX(Calc!HP$75:HP$89,Calc!$F$13),INDEX(Calc!HP$50:HP$64,Calc!$D$13))))</f>
        <v/>
      </c>
      <c r="W80" s="20">
        <f>IF(X80="","",N(X79)*(1+Start!$E$22/12)-X80)</f>
        <v/>
      </c>
      <c r="X80" s="20">
        <f>IF(OR(OR(Calc!$B$4=0,$B80&gt;IF(Start!$D$10="Avalanche",Calc!$B$3,Calc!$B$2)),Calc!$B$14=0),"",IF(N(X79)&lt;=0.005,"",IF(Start!$D$10="Avalanche",INDEX(Calc!HP$75:HP$89,Calc!$F$14),INDEX(Calc!HP$50:HP$64,Calc!$D$14))))</f>
        <v/>
      </c>
      <c r="Y80" s="20">
        <f>IF(Z80="","",N(Z79)*(1+Start!$E$23/12)-Z80)</f>
        <v/>
      </c>
      <c r="Z80" s="20">
        <f>IF(OR(OR(Calc!$B$4=0,$B80&gt;IF(Start!$D$10="Avalanche",Calc!$B$3,Calc!$B$2)),Calc!$B$15=0),"",IF(N(Z79)&lt;=0.005,"",IF(Start!$D$10="Avalanche",INDEX(Calc!HP$75:HP$89,Calc!$F$15),INDEX(Calc!HP$50:HP$64,Calc!$D$15))))</f>
        <v/>
      </c>
      <c r="AA80" s="20">
        <f>IF(AB80="","",N(AB79)*(1+Start!$E$24/12)-AB80)</f>
        <v/>
      </c>
      <c r="AB80" s="20">
        <f>IF(OR(OR(Calc!$B$4=0,$B80&gt;IF(Start!$D$10="Avalanche",Calc!$B$3,Calc!$B$2)),Calc!$B$16=0),"",IF(N(AB79)&lt;=0.005,"",IF(Start!$D$10="Avalanche",INDEX(Calc!HP$75:HP$89,Calc!$F$16),INDEX(Calc!HP$50:HP$64,Calc!$D$16))))</f>
        <v/>
      </c>
      <c r="AC80" s="20">
        <f>IF(AD80="","",N(AD79)*(1+Start!$E$25/12)-AD80)</f>
        <v/>
      </c>
      <c r="AD80" s="20">
        <f>IF(OR(OR(Calc!$B$4=0,$B80&gt;IF(Start!$D$10="Avalanche",Calc!$B$3,Calc!$B$2)),Calc!$B$17=0),"",IF(N(AD79)&lt;=0.005,"",IF(Start!$D$10="Avalanche",INDEX(Calc!HP$75:HP$89,Calc!$F$17),INDEX(Calc!HP$50:HP$64,Calc!$D$17))))</f>
        <v/>
      </c>
      <c r="AE80" s="20">
        <f>IF(AF80="","",N(AF79)*(1+Start!$E$26/12)-AF80)</f>
        <v/>
      </c>
      <c r="AF80" s="20">
        <f>IF(OR(OR(Calc!$B$4=0,$B80&gt;IF(Start!$D$10="Avalanche",Calc!$B$3,Calc!$B$2)),Calc!$B$18=0),"",IF(N(AF79)&lt;=0.005,"",IF(Start!$D$10="Avalanche",INDEX(Calc!HP$75:HP$89,Calc!$F$18),INDEX(Calc!HP$50:HP$64,Calc!$D$18))))</f>
        <v/>
      </c>
      <c r="AG80" s="20">
        <f>IF(AH80="","",N(AH79)*(1+Start!$E$27/12)-AH80)</f>
        <v/>
      </c>
      <c r="AH80" s="20">
        <f>IF(OR(OR(Calc!$B$4=0,$B80&gt;IF(Start!$D$10="Avalanche",Calc!$B$3,Calc!$B$2)),Calc!$B$19=0),"",IF(N(AH79)&lt;=0.005,"",IF(Start!$D$10="Avalanche",INDEX(Calc!HP$75:HP$89,Calc!$F$19),INDEX(Calc!HP$50:HP$64,Calc!$D$19))))</f>
        <v/>
      </c>
      <c r="AI80" s="20">
        <f>IF(AJ80="","",N(AJ79)*(1+Start!$E$28/12)-AJ80)</f>
        <v/>
      </c>
      <c r="AJ80" s="20">
        <f>IF(OR(OR(Calc!$B$4=0,$B80&gt;IF(Start!$D$10="Avalanche",Calc!$B$3,Calc!$B$2)),Calc!$B$20=0),"",IF(N(AJ79)&lt;=0.005,"",IF(Start!$D$10="Avalanche",INDEX(Calc!HP$75:HP$89,Calc!$F$20),INDEX(Calc!HP$50:HP$64,Calc!$D$20))))</f>
        <v/>
      </c>
    </row>
    <row r="81">
      <c r="B81" s="17" t="n">
        <v>75</v>
      </c>
      <c r="C81" s="19">
        <f>IF(Calc!$B$4=0,"",EDATE(Start!$D$11,74))</f>
        <v/>
      </c>
      <c r="D81" s="20">
        <f>IF(OR(Calc!$B$4=0,$B81&gt;IF(Start!$D$10="Avalanche",Calc!$B$3,Calc!$B$2)),"",SUM(G81,I81,K81,M81,O81,Q81,S81,U81,W81,Y81,AA81,AC81,AE81,AG81,AI81))</f>
        <v/>
      </c>
      <c r="E81" s="20">
        <f>IF(OR(Calc!$B$4=0,$B81&gt;IF(Start!$D$10="Avalanche",Calc!$B$3,Calc!$B$2)),"",IF(Start!$D$10="Avalanche",Calc!HQ$72,Calc!HQ$47))</f>
        <v/>
      </c>
      <c r="F81" s="21">
        <f>IF(Calc!$B$4=0,"",IF($B81&gt;IF(Start!$D$10="Avalanche",Calc!$B$3,Calc!$B$2),NA(),SUM(H81,J81,L81,N81,P81,R81,T81,V81,X81,Z81,AB81,AD81,AF81,AH81,AJ81)))</f>
        <v/>
      </c>
      <c r="G81" s="20">
        <f>IF(H81="","",N(H80)*(1+Start!$E$14/12)-H81)</f>
        <v/>
      </c>
      <c r="H81" s="20">
        <f>IF(OR(OR(Calc!$B$4=0,$B81&gt;IF(Start!$D$10="Avalanche",Calc!$B$3,Calc!$B$2)),Calc!$B$6=0),"",IF(N(H80)&lt;=0.005,"",IF(Start!$D$10="Avalanche",INDEX(Calc!HS$75:HS$89,Calc!$F$6),INDEX(Calc!HS$50:HS$64,Calc!$D$6))))</f>
        <v/>
      </c>
      <c r="I81" s="20">
        <f>IF(J81="","",N(J80)*(1+Start!$E$15/12)-J81)</f>
        <v/>
      </c>
      <c r="J81" s="20">
        <f>IF(OR(OR(Calc!$B$4=0,$B81&gt;IF(Start!$D$10="Avalanche",Calc!$B$3,Calc!$B$2)),Calc!$B$7=0),"",IF(N(J80)&lt;=0.005,"",IF(Start!$D$10="Avalanche",INDEX(Calc!HS$75:HS$89,Calc!$F$7),INDEX(Calc!HS$50:HS$64,Calc!$D$7))))</f>
        <v/>
      </c>
      <c r="K81" s="20">
        <f>IF(L81="","",N(L80)*(1+Start!$E$16/12)-L81)</f>
        <v/>
      </c>
      <c r="L81" s="20">
        <f>IF(OR(OR(Calc!$B$4=0,$B81&gt;IF(Start!$D$10="Avalanche",Calc!$B$3,Calc!$B$2)),Calc!$B$8=0),"",IF(N(L80)&lt;=0.005,"",IF(Start!$D$10="Avalanche",INDEX(Calc!HS$75:HS$89,Calc!$F$8),INDEX(Calc!HS$50:HS$64,Calc!$D$8))))</f>
        <v/>
      </c>
      <c r="M81" s="20">
        <f>IF(N81="","",N(N80)*(1+Start!$E$17/12)-N81)</f>
        <v/>
      </c>
      <c r="N81" s="20">
        <f>IF(OR(OR(Calc!$B$4=0,$B81&gt;IF(Start!$D$10="Avalanche",Calc!$B$3,Calc!$B$2)),Calc!$B$9=0),"",IF(N(N80)&lt;=0.005,"",IF(Start!$D$10="Avalanche",INDEX(Calc!HS$75:HS$89,Calc!$F$9),INDEX(Calc!HS$50:HS$64,Calc!$D$9))))</f>
        <v/>
      </c>
      <c r="O81" s="20">
        <f>IF(P81="","",N(P80)*(1+Start!$E$18/12)-P81)</f>
        <v/>
      </c>
      <c r="P81" s="20">
        <f>IF(OR(OR(Calc!$B$4=0,$B81&gt;IF(Start!$D$10="Avalanche",Calc!$B$3,Calc!$B$2)),Calc!$B$10=0),"",IF(N(P80)&lt;=0.005,"",IF(Start!$D$10="Avalanche",INDEX(Calc!HS$75:HS$89,Calc!$F$10),INDEX(Calc!HS$50:HS$64,Calc!$D$10))))</f>
        <v/>
      </c>
      <c r="Q81" s="20">
        <f>IF(R81="","",N(R80)*(1+Start!$E$19/12)-R81)</f>
        <v/>
      </c>
      <c r="R81" s="20">
        <f>IF(OR(OR(Calc!$B$4=0,$B81&gt;IF(Start!$D$10="Avalanche",Calc!$B$3,Calc!$B$2)),Calc!$B$11=0),"",IF(N(R80)&lt;=0.005,"",IF(Start!$D$10="Avalanche",INDEX(Calc!HS$75:HS$89,Calc!$F$11),INDEX(Calc!HS$50:HS$64,Calc!$D$11))))</f>
        <v/>
      </c>
      <c r="S81" s="20">
        <f>IF(T81="","",N(T80)*(1+Start!$E$20/12)-T81)</f>
        <v/>
      </c>
      <c r="T81" s="20">
        <f>IF(OR(OR(Calc!$B$4=0,$B81&gt;IF(Start!$D$10="Avalanche",Calc!$B$3,Calc!$B$2)),Calc!$B$12=0),"",IF(N(T80)&lt;=0.005,"",IF(Start!$D$10="Avalanche",INDEX(Calc!HS$75:HS$89,Calc!$F$12),INDEX(Calc!HS$50:HS$64,Calc!$D$12))))</f>
        <v/>
      </c>
      <c r="U81" s="20">
        <f>IF(V81="","",N(V80)*(1+Start!$E$21/12)-V81)</f>
        <v/>
      </c>
      <c r="V81" s="20">
        <f>IF(OR(OR(Calc!$B$4=0,$B81&gt;IF(Start!$D$10="Avalanche",Calc!$B$3,Calc!$B$2)),Calc!$B$13=0),"",IF(N(V80)&lt;=0.005,"",IF(Start!$D$10="Avalanche",INDEX(Calc!HS$75:HS$89,Calc!$F$13),INDEX(Calc!HS$50:HS$64,Calc!$D$13))))</f>
        <v/>
      </c>
      <c r="W81" s="20">
        <f>IF(X81="","",N(X80)*(1+Start!$E$22/12)-X81)</f>
        <v/>
      </c>
      <c r="X81" s="20">
        <f>IF(OR(OR(Calc!$B$4=0,$B81&gt;IF(Start!$D$10="Avalanche",Calc!$B$3,Calc!$B$2)),Calc!$B$14=0),"",IF(N(X80)&lt;=0.005,"",IF(Start!$D$10="Avalanche",INDEX(Calc!HS$75:HS$89,Calc!$F$14),INDEX(Calc!HS$50:HS$64,Calc!$D$14))))</f>
        <v/>
      </c>
      <c r="Y81" s="20">
        <f>IF(Z81="","",N(Z80)*(1+Start!$E$23/12)-Z81)</f>
        <v/>
      </c>
      <c r="Z81" s="20">
        <f>IF(OR(OR(Calc!$B$4=0,$B81&gt;IF(Start!$D$10="Avalanche",Calc!$B$3,Calc!$B$2)),Calc!$B$15=0),"",IF(N(Z80)&lt;=0.005,"",IF(Start!$D$10="Avalanche",INDEX(Calc!HS$75:HS$89,Calc!$F$15),INDEX(Calc!HS$50:HS$64,Calc!$D$15))))</f>
        <v/>
      </c>
      <c r="AA81" s="20">
        <f>IF(AB81="","",N(AB80)*(1+Start!$E$24/12)-AB81)</f>
        <v/>
      </c>
      <c r="AB81" s="20">
        <f>IF(OR(OR(Calc!$B$4=0,$B81&gt;IF(Start!$D$10="Avalanche",Calc!$B$3,Calc!$B$2)),Calc!$B$16=0),"",IF(N(AB80)&lt;=0.005,"",IF(Start!$D$10="Avalanche",INDEX(Calc!HS$75:HS$89,Calc!$F$16),INDEX(Calc!HS$50:HS$64,Calc!$D$16))))</f>
        <v/>
      </c>
      <c r="AC81" s="20">
        <f>IF(AD81="","",N(AD80)*(1+Start!$E$25/12)-AD81)</f>
        <v/>
      </c>
      <c r="AD81" s="20">
        <f>IF(OR(OR(Calc!$B$4=0,$B81&gt;IF(Start!$D$10="Avalanche",Calc!$B$3,Calc!$B$2)),Calc!$B$17=0),"",IF(N(AD80)&lt;=0.005,"",IF(Start!$D$10="Avalanche",INDEX(Calc!HS$75:HS$89,Calc!$F$17),INDEX(Calc!HS$50:HS$64,Calc!$D$17))))</f>
        <v/>
      </c>
      <c r="AE81" s="20">
        <f>IF(AF81="","",N(AF80)*(1+Start!$E$26/12)-AF81)</f>
        <v/>
      </c>
      <c r="AF81" s="20">
        <f>IF(OR(OR(Calc!$B$4=0,$B81&gt;IF(Start!$D$10="Avalanche",Calc!$B$3,Calc!$B$2)),Calc!$B$18=0),"",IF(N(AF80)&lt;=0.005,"",IF(Start!$D$10="Avalanche",INDEX(Calc!HS$75:HS$89,Calc!$F$18),INDEX(Calc!HS$50:HS$64,Calc!$D$18))))</f>
        <v/>
      </c>
      <c r="AG81" s="20">
        <f>IF(AH81="","",N(AH80)*(1+Start!$E$27/12)-AH81)</f>
        <v/>
      </c>
      <c r="AH81" s="20">
        <f>IF(OR(OR(Calc!$B$4=0,$B81&gt;IF(Start!$D$10="Avalanche",Calc!$B$3,Calc!$B$2)),Calc!$B$19=0),"",IF(N(AH80)&lt;=0.005,"",IF(Start!$D$10="Avalanche",INDEX(Calc!HS$75:HS$89,Calc!$F$19),INDEX(Calc!HS$50:HS$64,Calc!$D$19))))</f>
        <v/>
      </c>
      <c r="AI81" s="20">
        <f>IF(AJ81="","",N(AJ80)*(1+Start!$E$28/12)-AJ81)</f>
        <v/>
      </c>
      <c r="AJ81" s="20">
        <f>IF(OR(OR(Calc!$B$4=0,$B81&gt;IF(Start!$D$10="Avalanche",Calc!$B$3,Calc!$B$2)),Calc!$B$20=0),"",IF(N(AJ80)&lt;=0.005,"",IF(Start!$D$10="Avalanche",INDEX(Calc!HS$75:HS$89,Calc!$F$20),INDEX(Calc!HS$50:HS$64,Calc!$D$20))))</f>
        <v/>
      </c>
    </row>
    <row r="82">
      <c r="B82" s="17" t="n">
        <v>76</v>
      </c>
      <c r="C82" s="19">
        <f>IF(Calc!$B$4=0,"",EDATE(Start!$D$11,75))</f>
        <v/>
      </c>
      <c r="D82" s="20">
        <f>IF(OR(Calc!$B$4=0,$B82&gt;IF(Start!$D$10="Avalanche",Calc!$B$3,Calc!$B$2)),"",SUM(G82,I82,K82,M82,O82,Q82,S82,U82,W82,Y82,AA82,AC82,AE82,AG82,AI82))</f>
        <v/>
      </c>
      <c r="E82" s="20">
        <f>IF(OR(Calc!$B$4=0,$B82&gt;IF(Start!$D$10="Avalanche",Calc!$B$3,Calc!$B$2)),"",IF(Start!$D$10="Avalanche",Calc!HT$72,Calc!HT$47))</f>
        <v/>
      </c>
      <c r="F82" s="21">
        <f>IF(Calc!$B$4=0,"",IF($B82&gt;IF(Start!$D$10="Avalanche",Calc!$B$3,Calc!$B$2),NA(),SUM(H82,J82,L82,N82,P82,R82,T82,V82,X82,Z82,AB82,AD82,AF82,AH82,AJ82)))</f>
        <v/>
      </c>
      <c r="G82" s="20">
        <f>IF(H82="","",N(H81)*(1+Start!$E$14/12)-H82)</f>
        <v/>
      </c>
      <c r="H82" s="20">
        <f>IF(OR(OR(Calc!$B$4=0,$B82&gt;IF(Start!$D$10="Avalanche",Calc!$B$3,Calc!$B$2)),Calc!$B$6=0),"",IF(N(H81)&lt;=0.005,"",IF(Start!$D$10="Avalanche",INDEX(Calc!HV$75:HV$89,Calc!$F$6),INDEX(Calc!HV$50:HV$64,Calc!$D$6))))</f>
        <v/>
      </c>
      <c r="I82" s="20">
        <f>IF(J82="","",N(J81)*(1+Start!$E$15/12)-J82)</f>
        <v/>
      </c>
      <c r="J82" s="20">
        <f>IF(OR(OR(Calc!$B$4=0,$B82&gt;IF(Start!$D$10="Avalanche",Calc!$B$3,Calc!$B$2)),Calc!$B$7=0),"",IF(N(J81)&lt;=0.005,"",IF(Start!$D$10="Avalanche",INDEX(Calc!HV$75:HV$89,Calc!$F$7),INDEX(Calc!HV$50:HV$64,Calc!$D$7))))</f>
        <v/>
      </c>
      <c r="K82" s="20">
        <f>IF(L82="","",N(L81)*(1+Start!$E$16/12)-L82)</f>
        <v/>
      </c>
      <c r="L82" s="20">
        <f>IF(OR(OR(Calc!$B$4=0,$B82&gt;IF(Start!$D$10="Avalanche",Calc!$B$3,Calc!$B$2)),Calc!$B$8=0),"",IF(N(L81)&lt;=0.005,"",IF(Start!$D$10="Avalanche",INDEX(Calc!HV$75:HV$89,Calc!$F$8),INDEX(Calc!HV$50:HV$64,Calc!$D$8))))</f>
        <v/>
      </c>
      <c r="M82" s="20">
        <f>IF(N82="","",N(N81)*(1+Start!$E$17/12)-N82)</f>
        <v/>
      </c>
      <c r="N82" s="20">
        <f>IF(OR(OR(Calc!$B$4=0,$B82&gt;IF(Start!$D$10="Avalanche",Calc!$B$3,Calc!$B$2)),Calc!$B$9=0),"",IF(N(N81)&lt;=0.005,"",IF(Start!$D$10="Avalanche",INDEX(Calc!HV$75:HV$89,Calc!$F$9),INDEX(Calc!HV$50:HV$64,Calc!$D$9))))</f>
        <v/>
      </c>
      <c r="O82" s="20">
        <f>IF(P82="","",N(P81)*(1+Start!$E$18/12)-P82)</f>
        <v/>
      </c>
      <c r="P82" s="20">
        <f>IF(OR(OR(Calc!$B$4=0,$B82&gt;IF(Start!$D$10="Avalanche",Calc!$B$3,Calc!$B$2)),Calc!$B$10=0),"",IF(N(P81)&lt;=0.005,"",IF(Start!$D$10="Avalanche",INDEX(Calc!HV$75:HV$89,Calc!$F$10),INDEX(Calc!HV$50:HV$64,Calc!$D$10))))</f>
        <v/>
      </c>
      <c r="Q82" s="20">
        <f>IF(R82="","",N(R81)*(1+Start!$E$19/12)-R82)</f>
        <v/>
      </c>
      <c r="R82" s="20">
        <f>IF(OR(OR(Calc!$B$4=0,$B82&gt;IF(Start!$D$10="Avalanche",Calc!$B$3,Calc!$B$2)),Calc!$B$11=0),"",IF(N(R81)&lt;=0.005,"",IF(Start!$D$10="Avalanche",INDEX(Calc!HV$75:HV$89,Calc!$F$11),INDEX(Calc!HV$50:HV$64,Calc!$D$11))))</f>
        <v/>
      </c>
      <c r="S82" s="20">
        <f>IF(T82="","",N(T81)*(1+Start!$E$20/12)-T82)</f>
        <v/>
      </c>
      <c r="T82" s="20">
        <f>IF(OR(OR(Calc!$B$4=0,$B82&gt;IF(Start!$D$10="Avalanche",Calc!$B$3,Calc!$B$2)),Calc!$B$12=0),"",IF(N(T81)&lt;=0.005,"",IF(Start!$D$10="Avalanche",INDEX(Calc!HV$75:HV$89,Calc!$F$12),INDEX(Calc!HV$50:HV$64,Calc!$D$12))))</f>
        <v/>
      </c>
      <c r="U82" s="20">
        <f>IF(V82="","",N(V81)*(1+Start!$E$21/12)-V82)</f>
        <v/>
      </c>
      <c r="V82" s="20">
        <f>IF(OR(OR(Calc!$B$4=0,$B82&gt;IF(Start!$D$10="Avalanche",Calc!$B$3,Calc!$B$2)),Calc!$B$13=0),"",IF(N(V81)&lt;=0.005,"",IF(Start!$D$10="Avalanche",INDEX(Calc!HV$75:HV$89,Calc!$F$13),INDEX(Calc!HV$50:HV$64,Calc!$D$13))))</f>
        <v/>
      </c>
      <c r="W82" s="20">
        <f>IF(X82="","",N(X81)*(1+Start!$E$22/12)-X82)</f>
        <v/>
      </c>
      <c r="X82" s="20">
        <f>IF(OR(OR(Calc!$B$4=0,$B82&gt;IF(Start!$D$10="Avalanche",Calc!$B$3,Calc!$B$2)),Calc!$B$14=0),"",IF(N(X81)&lt;=0.005,"",IF(Start!$D$10="Avalanche",INDEX(Calc!HV$75:HV$89,Calc!$F$14),INDEX(Calc!HV$50:HV$64,Calc!$D$14))))</f>
        <v/>
      </c>
      <c r="Y82" s="20">
        <f>IF(Z82="","",N(Z81)*(1+Start!$E$23/12)-Z82)</f>
        <v/>
      </c>
      <c r="Z82" s="20">
        <f>IF(OR(OR(Calc!$B$4=0,$B82&gt;IF(Start!$D$10="Avalanche",Calc!$B$3,Calc!$B$2)),Calc!$B$15=0),"",IF(N(Z81)&lt;=0.005,"",IF(Start!$D$10="Avalanche",INDEX(Calc!HV$75:HV$89,Calc!$F$15),INDEX(Calc!HV$50:HV$64,Calc!$D$15))))</f>
        <v/>
      </c>
      <c r="AA82" s="20">
        <f>IF(AB82="","",N(AB81)*(1+Start!$E$24/12)-AB82)</f>
        <v/>
      </c>
      <c r="AB82" s="20">
        <f>IF(OR(OR(Calc!$B$4=0,$B82&gt;IF(Start!$D$10="Avalanche",Calc!$B$3,Calc!$B$2)),Calc!$B$16=0),"",IF(N(AB81)&lt;=0.005,"",IF(Start!$D$10="Avalanche",INDEX(Calc!HV$75:HV$89,Calc!$F$16),INDEX(Calc!HV$50:HV$64,Calc!$D$16))))</f>
        <v/>
      </c>
      <c r="AC82" s="20">
        <f>IF(AD82="","",N(AD81)*(1+Start!$E$25/12)-AD82)</f>
        <v/>
      </c>
      <c r="AD82" s="20">
        <f>IF(OR(OR(Calc!$B$4=0,$B82&gt;IF(Start!$D$10="Avalanche",Calc!$B$3,Calc!$B$2)),Calc!$B$17=0),"",IF(N(AD81)&lt;=0.005,"",IF(Start!$D$10="Avalanche",INDEX(Calc!HV$75:HV$89,Calc!$F$17),INDEX(Calc!HV$50:HV$64,Calc!$D$17))))</f>
        <v/>
      </c>
      <c r="AE82" s="20">
        <f>IF(AF82="","",N(AF81)*(1+Start!$E$26/12)-AF82)</f>
        <v/>
      </c>
      <c r="AF82" s="20">
        <f>IF(OR(OR(Calc!$B$4=0,$B82&gt;IF(Start!$D$10="Avalanche",Calc!$B$3,Calc!$B$2)),Calc!$B$18=0),"",IF(N(AF81)&lt;=0.005,"",IF(Start!$D$10="Avalanche",INDEX(Calc!HV$75:HV$89,Calc!$F$18),INDEX(Calc!HV$50:HV$64,Calc!$D$18))))</f>
        <v/>
      </c>
      <c r="AG82" s="20">
        <f>IF(AH82="","",N(AH81)*(1+Start!$E$27/12)-AH82)</f>
        <v/>
      </c>
      <c r="AH82" s="20">
        <f>IF(OR(OR(Calc!$B$4=0,$B82&gt;IF(Start!$D$10="Avalanche",Calc!$B$3,Calc!$B$2)),Calc!$B$19=0),"",IF(N(AH81)&lt;=0.005,"",IF(Start!$D$10="Avalanche",INDEX(Calc!HV$75:HV$89,Calc!$F$19),INDEX(Calc!HV$50:HV$64,Calc!$D$19))))</f>
        <v/>
      </c>
      <c r="AI82" s="20">
        <f>IF(AJ82="","",N(AJ81)*(1+Start!$E$28/12)-AJ82)</f>
        <v/>
      </c>
      <c r="AJ82" s="20">
        <f>IF(OR(OR(Calc!$B$4=0,$B82&gt;IF(Start!$D$10="Avalanche",Calc!$B$3,Calc!$B$2)),Calc!$B$20=0),"",IF(N(AJ81)&lt;=0.005,"",IF(Start!$D$10="Avalanche",INDEX(Calc!HV$75:HV$89,Calc!$F$20),INDEX(Calc!HV$50:HV$64,Calc!$D$20))))</f>
        <v/>
      </c>
    </row>
    <row r="83">
      <c r="B83" s="17" t="n">
        <v>77</v>
      </c>
      <c r="C83" s="19">
        <f>IF(Calc!$B$4=0,"",EDATE(Start!$D$11,76))</f>
        <v/>
      </c>
      <c r="D83" s="20">
        <f>IF(OR(Calc!$B$4=0,$B83&gt;IF(Start!$D$10="Avalanche",Calc!$B$3,Calc!$B$2)),"",SUM(G83,I83,K83,M83,O83,Q83,S83,U83,W83,Y83,AA83,AC83,AE83,AG83,AI83))</f>
        <v/>
      </c>
      <c r="E83" s="20">
        <f>IF(OR(Calc!$B$4=0,$B83&gt;IF(Start!$D$10="Avalanche",Calc!$B$3,Calc!$B$2)),"",IF(Start!$D$10="Avalanche",Calc!HW$72,Calc!HW$47))</f>
        <v/>
      </c>
      <c r="F83" s="21">
        <f>IF(Calc!$B$4=0,"",IF($B83&gt;IF(Start!$D$10="Avalanche",Calc!$B$3,Calc!$B$2),NA(),SUM(H83,J83,L83,N83,P83,R83,T83,V83,X83,Z83,AB83,AD83,AF83,AH83,AJ83)))</f>
        <v/>
      </c>
      <c r="G83" s="20">
        <f>IF(H83="","",N(H82)*(1+Start!$E$14/12)-H83)</f>
        <v/>
      </c>
      <c r="H83" s="20">
        <f>IF(OR(OR(Calc!$B$4=0,$B83&gt;IF(Start!$D$10="Avalanche",Calc!$B$3,Calc!$B$2)),Calc!$B$6=0),"",IF(N(H82)&lt;=0.005,"",IF(Start!$D$10="Avalanche",INDEX(Calc!HY$75:HY$89,Calc!$F$6),INDEX(Calc!HY$50:HY$64,Calc!$D$6))))</f>
        <v/>
      </c>
      <c r="I83" s="20">
        <f>IF(J83="","",N(J82)*(1+Start!$E$15/12)-J83)</f>
        <v/>
      </c>
      <c r="J83" s="20">
        <f>IF(OR(OR(Calc!$B$4=0,$B83&gt;IF(Start!$D$10="Avalanche",Calc!$B$3,Calc!$B$2)),Calc!$B$7=0),"",IF(N(J82)&lt;=0.005,"",IF(Start!$D$10="Avalanche",INDEX(Calc!HY$75:HY$89,Calc!$F$7),INDEX(Calc!HY$50:HY$64,Calc!$D$7))))</f>
        <v/>
      </c>
      <c r="K83" s="20">
        <f>IF(L83="","",N(L82)*(1+Start!$E$16/12)-L83)</f>
        <v/>
      </c>
      <c r="L83" s="20">
        <f>IF(OR(OR(Calc!$B$4=0,$B83&gt;IF(Start!$D$10="Avalanche",Calc!$B$3,Calc!$B$2)),Calc!$B$8=0),"",IF(N(L82)&lt;=0.005,"",IF(Start!$D$10="Avalanche",INDEX(Calc!HY$75:HY$89,Calc!$F$8),INDEX(Calc!HY$50:HY$64,Calc!$D$8))))</f>
        <v/>
      </c>
      <c r="M83" s="20">
        <f>IF(N83="","",N(N82)*(1+Start!$E$17/12)-N83)</f>
        <v/>
      </c>
      <c r="N83" s="20">
        <f>IF(OR(OR(Calc!$B$4=0,$B83&gt;IF(Start!$D$10="Avalanche",Calc!$B$3,Calc!$B$2)),Calc!$B$9=0),"",IF(N(N82)&lt;=0.005,"",IF(Start!$D$10="Avalanche",INDEX(Calc!HY$75:HY$89,Calc!$F$9),INDEX(Calc!HY$50:HY$64,Calc!$D$9))))</f>
        <v/>
      </c>
      <c r="O83" s="20">
        <f>IF(P83="","",N(P82)*(1+Start!$E$18/12)-P83)</f>
        <v/>
      </c>
      <c r="P83" s="20">
        <f>IF(OR(OR(Calc!$B$4=0,$B83&gt;IF(Start!$D$10="Avalanche",Calc!$B$3,Calc!$B$2)),Calc!$B$10=0),"",IF(N(P82)&lt;=0.005,"",IF(Start!$D$10="Avalanche",INDEX(Calc!HY$75:HY$89,Calc!$F$10),INDEX(Calc!HY$50:HY$64,Calc!$D$10))))</f>
        <v/>
      </c>
      <c r="Q83" s="20">
        <f>IF(R83="","",N(R82)*(1+Start!$E$19/12)-R83)</f>
        <v/>
      </c>
      <c r="R83" s="20">
        <f>IF(OR(OR(Calc!$B$4=0,$B83&gt;IF(Start!$D$10="Avalanche",Calc!$B$3,Calc!$B$2)),Calc!$B$11=0),"",IF(N(R82)&lt;=0.005,"",IF(Start!$D$10="Avalanche",INDEX(Calc!HY$75:HY$89,Calc!$F$11),INDEX(Calc!HY$50:HY$64,Calc!$D$11))))</f>
        <v/>
      </c>
      <c r="S83" s="20">
        <f>IF(T83="","",N(T82)*(1+Start!$E$20/12)-T83)</f>
        <v/>
      </c>
      <c r="T83" s="20">
        <f>IF(OR(OR(Calc!$B$4=0,$B83&gt;IF(Start!$D$10="Avalanche",Calc!$B$3,Calc!$B$2)),Calc!$B$12=0),"",IF(N(T82)&lt;=0.005,"",IF(Start!$D$10="Avalanche",INDEX(Calc!HY$75:HY$89,Calc!$F$12),INDEX(Calc!HY$50:HY$64,Calc!$D$12))))</f>
        <v/>
      </c>
      <c r="U83" s="20">
        <f>IF(V83="","",N(V82)*(1+Start!$E$21/12)-V83)</f>
        <v/>
      </c>
      <c r="V83" s="20">
        <f>IF(OR(OR(Calc!$B$4=0,$B83&gt;IF(Start!$D$10="Avalanche",Calc!$B$3,Calc!$B$2)),Calc!$B$13=0),"",IF(N(V82)&lt;=0.005,"",IF(Start!$D$10="Avalanche",INDEX(Calc!HY$75:HY$89,Calc!$F$13),INDEX(Calc!HY$50:HY$64,Calc!$D$13))))</f>
        <v/>
      </c>
      <c r="W83" s="20">
        <f>IF(X83="","",N(X82)*(1+Start!$E$22/12)-X83)</f>
        <v/>
      </c>
      <c r="X83" s="20">
        <f>IF(OR(OR(Calc!$B$4=0,$B83&gt;IF(Start!$D$10="Avalanche",Calc!$B$3,Calc!$B$2)),Calc!$B$14=0),"",IF(N(X82)&lt;=0.005,"",IF(Start!$D$10="Avalanche",INDEX(Calc!HY$75:HY$89,Calc!$F$14),INDEX(Calc!HY$50:HY$64,Calc!$D$14))))</f>
        <v/>
      </c>
      <c r="Y83" s="20">
        <f>IF(Z83="","",N(Z82)*(1+Start!$E$23/12)-Z83)</f>
        <v/>
      </c>
      <c r="Z83" s="20">
        <f>IF(OR(OR(Calc!$B$4=0,$B83&gt;IF(Start!$D$10="Avalanche",Calc!$B$3,Calc!$B$2)),Calc!$B$15=0),"",IF(N(Z82)&lt;=0.005,"",IF(Start!$D$10="Avalanche",INDEX(Calc!HY$75:HY$89,Calc!$F$15),INDEX(Calc!HY$50:HY$64,Calc!$D$15))))</f>
        <v/>
      </c>
      <c r="AA83" s="20">
        <f>IF(AB83="","",N(AB82)*(1+Start!$E$24/12)-AB83)</f>
        <v/>
      </c>
      <c r="AB83" s="20">
        <f>IF(OR(OR(Calc!$B$4=0,$B83&gt;IF(Start!$D$10="Avalanche",Calc!$B$3,Calc!$B$2)),Calc!$B$16=0),"",IF(N(AB82)&lt;=0.005,"",IF(Start!$D$10="Avalanche",INDEX(Calc!HY$75:HY$89,Calc!$F$16),INDEX(Calc!HY$50:HY$64,Calc!$D$16))))</f>
        <v/>
      </c>
      <c r="AC83" s="20">
        <f>IF(AD83="","",N(AD82)*(1+Start!$E$25/12)-AD83)</f>
        <v/>
      </c>
      <c r="AD83" s="20">
        <f>IF(OR(OR(Calc!$B$4=0,$B83&gt;IF(Start!$D$10="Avalanche",Calc!$B$3,Calc!$B$2)),Calc!$B$17=0),"",IF(N(AD82)&lt;=0.005,"",IF(Start!$D$10="Avalanche",INDEX(Calc!HY$75:HY$89,Calc!$F$17),INDEX(Calc!HY$50:HY$64,Calc!$D$17))))</f>
        <v/>
      </c>
      <c r="AE83" s="20">
        <f>IF(AF83="","",N(AF82)*(1+Start!$E$26/12)-AF83)</f>
        <v/>
      </c>
      <c r="AF83" s="20">
        <f>IF(OR(OR(Calc!$B$4=0,$B83&gt;IF(Start!$D$10="Avalanche",Calc!$B$3,Calc!$B$2)),Calc!$B$18=0),"",IF(N(AF82)&lt;=0.005,"",IF(Start!$D$10="Avalanche",INDEX(Calc!HY$75:HY$89,Calc!$F$18),INDEX(Calc!HY$50:HY$64,Calc!$D$18))))</f>
        <v/>
      </c>
      <c r="AG83" s="20">
        <f>IF(AH83="","",N(AH82)*(1+Start!$E$27/12)-AH83)</f>
        <v/>
      </c>
      <c r="AH83" s="20">
        <f>IF(OR(OR(Calc!$B$4=0,$B83&gt;IF(Start!$D$10="Avalanche",Calc!$B$3,Calc!$B$2)),Calc!$B$19=0),"",IF(N(AH82)&lt;=0.005,"",IF(Start!$D$10="Avalanche",INDEX(Calc!HY$75:HY$89,Calc!$F$19),INDEX(Calc!HY$50:HY$64,Calc!$D$19))))</f>
        <v/>
      </c>
      <c r="AI83" s="20">
        <f>IF(AJ83="","",N(AJ82)*(1+Start!$E$28/12)-AJ83)</f>
        <v/>
      </c>
      <c r="AJ83" s="20">
        <f>IF(OR(OR(Calc!$B$4=0,$B83&gt;IF(Start!$D$10="Avalanche",Calc!$B$3,Calc!$B$2)),Calc!$B$20=0),"",IF(N(AJ82)&lt;=0.005,"",IF(Start!$D$10="Avalanche",INDEX(Calc!HY$75:HY$89,Calc!$F$20),INDEX(Calc!HY$50:HY$64,Calc!$D$20))))</f>
        <v/>
      </c>
    </row>
    <row r="84">
      <c r="B84" s="17" t="n">
        <v>78</v>
      </c>
      <c r="C84" s="19">
        <f>IF(Calc!$B$4=0,"",EDATE(Start!$D$11,77))</f>
        <v/>
      </c>
      <c r="D84" s="20">
        <f>IF(OR(Calc!$B$4=0,$B84&gt;IF(Start!$D$10="Avalanche",Calc!$B$3,Calc!$B$2)),"",SUM(G84,I84,K84,M84,O84,Q84,S84,U84,W84,Y84,AA84,AC84,AE84,AG84,AI84))</f>
        <v/>
      </c>
      <c r="E84" s="20">
        <f>IF(OR(Calc!$B$4=0,$B84&gt;IF(Start!$D$10="Avalanche",Calc!$B$3,Calc!$B$2)),"",IF(Start!$D$10="Avalanche",Calc!HZ$72,Calc!HZ$47))</f>
        <v/>
      </c>
      <c r="F84" s="21">
        <f>IF(Calc!$B$4=0,"",IF($B84&gt;IF(Start!$D$10="Avalanche",Calc!$B$3,Calc!$B$2),NA(),SUM(H84,J84,L84,N84,P84,R84,T84,V84,X84,Z84,AB84,AD84,AF84,AH84,AJ84)))</f>
        <v/>
      </c>
      <c r="G84" s="20">
        <f>IF(H84="","",N(H83)*(1+Start!$E$14/12)-H84)</f>
        <v/>
      </c>
      <c r="H84" s="20">
        <f>IF(OR(OR(Calc!$B$4=0,$B84&gt;IF(Start!$D$10="Avalanche",Calc!$B$3,Calc!$B$2)),Calc!$B$6=0),"",IF(N(H83)&lt;=0.005,"",IF(Start!$D$10="Avalanche",INDEX(Calc!IB$75:IB$89,Calc!$F$6),INDEX(Calc!IB$50:IB$64,Calc!$D$6))))</f>
        <v/>
      </c>
      <c r="I84" s="20">
        <f>IF(J84="","",N(J83)*(1+Start!$E$15/12)-J84)</f>
        <v/>
      </c>
      <c r="J84" s="20">
        <f>IF(OR(OR(Calc!$B$4=0,$B84&gt;IF(Start!$D$10="Avalanche",Calc!$B$3,Calc!$B$2)),Calc!$B$7=0),"",IF(N(J83)&lt;=0.005,"",IF(Start!$D$10="Avalanche",INDEX(Calc!IB$75:IB$89,Calc!$F$7),INDEX(Calc!IB$50:IB$64,Calc!$D$7))))</f>
        <v/>
      </c>
      <c r="K84" s="20">
        <f>IF(L84="","",N(L83)*(1+Start!$E$16/12)-L84)</f>
        <v/>
      </c>
      <c r="L84" s="20">
        <f>IF(OR(OR(Calc!$B$4=0,$B84&gt;IF(Start!$D$10="Avalanche",Calc!$B$3,Calc!$B$2)),Calc!$B$8=0),"",IF(N(L83)&lt;=0.005,"",IF(Start!$D$10="Avalanche",INDEX(Calc!IB$75:IB$89,Calc!$F$8),INDEX(Calc!IB$50:IB$64,Calc!$D$8))))</f>
        <v/>
      </c>
      <c r="M84" s="20">
        <f>IF(N84="","",N(N83)*(1+Start!$E$17/12)-N84)</f>
        <v/>
      </c>
      <c r="N84" s="20">
        <f>IF(OR(OR(Calc!$B$4=0,$B84&gt;IF(Start!$D$10="Avalanche",Calc!$B$3,Calc!$B$2)),Calc!$B$9=0),"",IF(N(N83)&lt;=0.005,"",IF(Start!$D$10="Avalanche",INDEX(Calc!IB$75:IB$89,Calc!$F$9),INDEX(Calc!IB$50:IB$64,Calc!$D$9))))</f>
        <v/>
      </c>
      <c r="O84" s="20">
        <f>IF(P84="","",N(P83)*(1+Start!$E$18/12)-P84)</f>
        <v/>
      </c>
      <c r="P84" s="20">
        <f>IF(OR(OR(Calc!$B$4=0,$B84&gt;IF(Start!$D$10="Avalanche",Calc!$B$3,Calc!$B$2)),Calc!$B$10=0),"",IF(N(P83)&lt;=0.005,"",IF(Start!$D$10="Avalanche",INDEX(Calc!IB$75:IB$89,Calc!$F$10),INDEX(Calc!IB$50:IB$64,Calc!$D$10))))</f>
        <v/>
      </c>
      <c r="Q84" s="20">
        <f>IF(R84="","",N(R83)*(1+Start!$E$19/12)-R84)</f>
        <v/>
      </c>
      <c r="R84" s="20">
        <f>IF(OR(OR(Calc!$B$4=0,$B84&gt;IF(Start!$D$10="Avalanche",Calc!$B$3,Calc!$B$2)),Calc!$B$11=0),"",IF(N(R83)&lt;=0.005,"",IF(Start!$D$10="Avalanche",INDEX(Calc!IB$75:IB$89,Calc!$F$11),INDEX(Calc!IB$50:IB$64,Calc!$D$11))))</f>
        <v/>
      </c>
      <c r="S84" s="20">
        <f>IF(T84="","",N(T83)*(1+Start!$E$20/12)-T84)</f>
        <v/>
      </c>
      <c r="T84" s="20">
        <f>IF(OR(OR(Calc!$B$4=0,$B84&gt;IF(Start!$D$10="Avalanche",Calc!$B$3,Calc!$B$2)),Calc!$B$12=0),"",IF(N(T83)&lt;=0.005,"",IF(Start!$D$10="Avalanche",INDEX(Calc!IB$75:IB$89,Calc!$F$12),INDEX(Calc!IB$50:IB$64,Calc!$D$12))))</f>
        <v/>
      </c>
      <c r="U84" s="20">
        <f>IF(V84="","",N(V83)*(1+Start!$E$21/12)-V84)</f>
        <v/>
      </c>
      <c r="V84" s="20">
        <f>IF(OR(OR(Calc!$B$4=0,$B84&gt;IF(Start!$D$10="Avalanche",Calc!$B$3,Calc!$B$2)),Calc!$B$13=0),"",IF(N(V83)&lt;=0.005,"",IF(Start!$D$10="Avalanche",INDEX(Calc!IB$75:IB$89,Calc!$F$13),INDEX(Calc!IB$50:IB$64,Calc!$D$13))))</f>
        <v/>
      </c>
      <c r="W84" s="20">
        <f>IF(X84="","",N(X83)*(1+Start!$E$22/12)-X84)</f>
        <v/>
      </c>
      <c r="X84" s="20">
        <f>IF(OR(OR(Calc!$B$4=0,$B84&gt;IF(Start!$D$10="Avalanche",Calc!$B$3,Calc!$B$2)),Calc!$B$14=0),"",IF(N(X83)&lt;=0.005,"",IF(Start!$D$10="Avalanche",INDEX(Calc!IB$75:IB$89,Calc!$F$14),INDEX(Calc!IB$50:IB$64,Calc!$D$14))))</f>
        <v/>
      </c>
      <c r="Y84" s="20">
        <f>IF(Z84="","",N(Z83)*(1+Start!$E$23/12)-Z84)</f>
        <v/>
      </c>
      <c r="Z84" s="20">
        <f>IF(OR(OR(Calc!$B$4=0,$B84&gt;IF(Start!$D$10="Avalanche",Calc!$B$3,Calc!$B$2)),Calc!$B$15=0),"",IF(N(Z83)&lt;=0.005,"",IF(Start!$D$10="Avalanche",INDEX(Calc!IB$75:IB$89,Calc!$F$15),INDEX(Calc!IB$50:IB$64,Calc!$D$15))))</f>
        <v/>
      </c>
      <c r="AA84" s="20">
        <f>IF(AB84="","",N(AB83)*(1+Start!$E$24/12)-AB84)</f>
        <v/>
      </c>
      <c r="AB84" s="20">
        <f>IF(OR(OR(Calc!$B$4=0,$B84&gt;IF(Start!$D$10="Avalanche",Calc!$B$3,Calc!$B$2)),Calc!$B$16=0),"",IF(N(AB83)&lt;=0.005,"",IF(Start!$D$10="Avalanche",INDEX(Calc!IB$75:IB$89,Calc!$F$16),INDEX(Calc!IB$50:IB$64,Calc!$D$16))))</f>
        <v/>
      </c>
      <c r="AC84" s="20">
        <f>IF(AD84="","",N(AD83)*(1+Start!$E$25/12)-AD84)</f>
        <v/>
      </c>
      <c r="AD84" s="20">
        <f>IF(OR(OR(Calc!$B$4=0,$B84&gt;IF(Start!$D$10="Avalanche",Calc!$B$3,Calc!$B$2)),Calc!$B$17=0),"",IF(N(AD83)&lt;=0.005,"",IF(Start!$D$10="Avalanche",INDEX(Calc!IB$75:IB$89,Calc!$F$17),INDEX(Calc!IB$50:IB$64,Calc!$D$17))))</f>
        <v/>
      </c>
      <c r="AE84" s="20">
        <f>IF(AF84="","",N(AF83)*(1+Start!$E$26/12)-AF84)</f>
        <v/>
      </c>
      <c r="AF84" s="20">
        <f>IF(OR(OR(Calc!$B$4=0,$B84&gt;IF(Start!$D$10="Avalanche",Calc!$B$3,Calc!$B$2)),Calc!$B$18=0),"",IF(N(AF83)&lt;=0.005,"",IF(Start!$D$10="Avalanche",INDEX(Calc!IB$75:IB$89,Calc!$F$18),INDEX(Calc!IB$50:IB$64,Calc!$D$18))))</f>
        <v/>
      </c>
      <c r="AG84" s="20">
        <f>IF(AH84="","",N(AH83)*(1+Start!$E$27/12)-AH84)</f>
        <v/>
      </c>
      <c r="AH84" s="20">
        <f>IF(OR(OR(Calc!$B$4=0,$B84&gt;IF(Start!$D$10="Avalanche",Calc!$B$3,Calc!$B$2)),Calc!$B$19=0),"",IF(N(AH83)&lt;=0.005,"",IF(Start!$D$10="Avalanche",INDEX(Calc!IB$75:IB$89,Calc!$F$19),INDEX(Calc!IB$50:IB$64,Calc!$D$19))))</f>
        <v/>
      </c>
      <c r="AI84" s="20">
        <f>IF(AJ84="","",N(AJ83)*(1+Start!$E$28/12)-AJ84)</f>
        <v/>
      </c>
      <c r="AJ84" s="20">
        <f>IF(OR(OR(Calc!$B$4=0,$B84&gt;IF(Start!$D$10="Avalanche",Calc!$B$3,Calc!$B$2)),Calc!$B$20=0),"",IF(N(AJ83)&lt;=0.005,"",IF(Start!$D$10="Avalanche",INDEX(Calc!IB$75:IB$89,Calc!$F$20),INDEX(Calc!IB$50:IB$64,Calc!$D$20))))</f>
        <v/>
      </c>
    </row>
    <row r="85">
      <c r="B85" s="17" t="n">
        <v>79</v>
      </c>
      <c r="C85" s="19">
        <f>IF(Calc!$B$4=0,"",EDATE(Start!$D$11,78))</f>
        <v/>
      </c>
      <c r="D85" s="20">
        <f>IF(OR(Calc!$B$4=0,$B85&gt;IF(Start!$D$10="Avalanche",Calc!$B$3,Calc!$B$2)),"",SUM(G85,I85,K85,M85,O85,Q85,S85,U85,W85,Y85,AA85,AC85,AE85,AG85,AI85))</f>
        <v/>
      </c>
      <c r="E85" s="20">
        <f>IF(OR(Calc!$B$4=0,$B85&gt;IF(Start!$D$10="Avalanche",Calc!$B$3,Calc!$B$2)),"",IF(Start!$D$10="Avalanche",Calc!IC$72,Calc!IC$47))</f>
        <v/>
      </c>
      <c r="F85" s="21">
        <f>IF(Calc!$B$4=0,"",IF($B85&gt;IF(Start!$D$10="Avalanche",Calc!$B$3,Calc!$B$2),NA(),SUM(H85,J85,L85,N85,P85,R85,T85,V85,X85,Z85,AB85,AD85,AF85,AH85,AJ85)))</f>
        <v/>
      </c>
      <c r="G85" s="20">
        <f>IF(H85="","",N(H84)*(1+Start!$E$14/12)-H85)</f>
        <v/>
      </c>
      <c r="H85" s="20">
        <f>IF(OR(OR(Calc!$B$4=0,$B85&gt;IF(Start!$D$10="Avalanche",Calc!$B$3,Calc!$B$2)),Calc!$B$6=0),"",IF(N(H84)&lt;=0.005,"",IF(Start!$D$10="Avalanche",INDEX(Calc!IE$75:IE$89,Calc!$F$6),INDEX(Calc!IE$50:IE$64,Calc!$D$6))))</f>
        <v/>
      </c>
      <c r="I85" s="20">
        <f>IF(J85="","",N(J84)*(1+Start!$E$15/12)-J85)</f>
        <v/>
      </c>
      <c r="J85" s="20">
        <f>IF(OR(OR(Calc!$B$4=0,$B85&gt;IF(Start!$D$10="Avalanche",Calc!$B$3,Calc!$B$2)),Calc!$B$7=0),"",IF(N(J84)&lt;=0.005,"",IF(Start!$D$10="Avalanche",INDEX(Calc!IE$75:IE$89,Calc!$F$7),INDEX(Calc!IE$50:IE$64,Calc!$D$7))))</f>
        <v/>
      </c>
      <c r="K85" s="20">
        <f>IF(L85="","",N(L84)*(1+Start!$E$16/12)-L85)</f>
        <v/>
      </c>
      <c r="L85" s="20">
        <f>IF(OR(OR(Calc!$B$4=0,$B85&gt;IF(Start!$D$10="Avalanche",Calc!$B$3,Calc!$B$2)),Calc!$B$8=0),"",IF(N(L84)&lt;=0.005,"",IF(Start!$D$10="Avalanche",INDEX(Calc!IE$75:IE$89,Calc!$F$8),INDEX(Calc!IE$50:IE$64,Calc!$D$8))))</f>
        <v/>
      </c>
      <c r="M85" s="20">
        <f>IF(N85="","",N(N84)*(1+Start!$E$17/12)-N85)</f>
        <v/>
      </c>
      <c r="N85" s="20">
        <f>IF(OR(OR(Calc!$B$4=0,$B85&gt;IF(Start!$D$10="Avalanche",Calc!$B$3,Calc!$B$2)),Calc!$B$9=0),"",IF(N(N84)&lt;=0.005,"",IF(Start!$D$10="Avalanche",INDEX(Calc!IE$75:IE$89,Calc!$F$9),INDEX(Calc!IE$50:IE$64,Calc!$D$9))))</f>
        <v/>
      </c>
      <c r="O85" s="20">
        <f>IF(P85="","",N(P84)*(1+Start!$E$18/12)-P85)</f>
        <v/>
      </c>
      <c r="P85" s="20">
        <f>IF(OR(OR(Calc!$B$4=0,$B85&gt;IF(Start!$D$10="Avalanche",Calc!$B$3,Calc!$B$2)),Calc!$B$10=0),"",IF(N(P84)&lt;=0.005,"",IF(Start!$D$10="Avalanche",INDEX(Calc!IE$75:IE$89,Calc!$F$10),INDEX(Calc!IE$50:IE$64,Calc!$D$10))))</f>
        <v/>
      </c>
      <c r="Q85" s="20">
        <f>IF(R85="","",N(R84)*(1+Start!$E$19/12)-R85)</f>
        <v/>
      </c>
      <c r="R85" s="20">
        <f>IF(OR(OR(Calc!$B$4=0,$B85&gt;IF(Start!$D$10="Avalanche",Calc!$B$3,Calc!$B$2)),Calc!$B$11=0),"",IF(N(R84)&lt;=0.005,"",IF(Start!$D$10="Avalanche",INDEX(Calc!IE$75:IE$89,Calc!$F$11),INDEX(Calc!IE$50:IE$64,Calc!$D$11))))</f>
        <v/>
      </c>
      <c r="S85" s="20">
        <f>IF(T85="","",N(T84)*(1+Start!$E$20/12)-T85)</f>
        <v/>
      </c>
      <c r="T85" s="20">
        <f>IF(OR(OR(Calc!$B$4=0,$B85&gt;IF(Start!$D$10="Avalanche",Calc!$B$3,Calc!$B$2)),Calc!$B$12=0),"",IF(N(T84)&lt;=0.005,"",IF(Start!$D$10="Avalanche",INDEX(Calc!IE$75:IE$89,Calc!$F$12),INDEX(Calc!IE$50:IE$64,Calc!$D$12))))</f>
        <v/>
      </c>
      <c r="U85" s="20">
        <f>IF(V85="","",N(V84)*(1+Start!$E$21/12)-V85)</f>
        <v/>
      </c>
      <c r="V85" s="20">
        <f>IF(OR(OR(Calc!$B$4=0,$B85&gt;IF(Start!$D$10="Avalanche",Calc!$B$3,Calc!$B$2)),Calc!$B$13=0),"",IF(N(V84)&lt;=0.005,"",IF(Start!$D$10="Avalanche",INDEX(Calc!IE$75:IE$89,Calc!$F$13),INDEX(Calc!IE$50:IE$64,Calc!$D$13))))</f>
        <v/>
      </c>
      <c r="W85" s="20">
        <f>IF(X85="","",N(X84)*(1+Start!$E$22/12)-X85)</f>
        <v/>
      </c>
      <c r="X85" s="20">
        <f>IF(OR(OR(Calc!$B$4=0,$B85&gt;IF(Start!$D$10="Avalanche",Calc!$B$3,Calc!$B$2)),Calc!$B$14=0),"",IF(N(X84)&lt;=0.005,"",IF(Start!$D$10="Avalanche",INDEX(Calc!IE$75:IE$89,Calc!$F$14),INDEX(Calc!IE$50:IE$64,Calc!$D$14))))</f>
        <v/>
      </c>
      <c r="Y85" s="20">
        <f>IF(Z85="","",N(Z84)*(1+Start!$E$23/12)-Z85)</f>
        <v/>
      </c>
      <c r="Z85" s="20">
        <f>IF(OR(OR(Calc!$B$4=0,$B85&gt;IF(Start!$D$10="Avalanche",Calc!$B$3,Calc!$B$2)),Calc!$B$15=0),"",IF(N(Z84)&lt;=0.005,"",IF(Start!$D$10="Avalanche",INDEX(Calc!IE$75:IE$89,Calc!$F$15),INDEX(Calc!IE$50:IE$64,Calc!$D$15))))</f>
        <v/>
      </c>
      <c r="AA85" s="20">
        <f>IF(AB85="","",N(AB84)*(1+Start!$E$24/12)-AB85)</f>
        <v/>
      </c>
      <c r="AB85" s="20">
        <f>IF(OR(OR(Calc!$B$4=0,$B85&gt;IF(Start!$D$10="Avalanche",Calc!$B$3,Calc!$B$2)),Calc!$B$16=0),"",IF(N(AB84)&lt;=0.005,"",IF(Start!$D$10="Avalanche",INDEX(Calc!IE$75:IE$89,Calc!$F$16),INDEX(Calc!IE$50:IE$64,Calc!$D$16))))</f>
        <v/>
      </c>
      <c r="AC85" s="20">
        <f>IF(AD85="","",N(AD84)*(1+Start!$E$25/12)-AD85)</f>
        <v/>
      </c>
      <c r="AD85" s="20">
        <f>IF(OR(OR(Calc!$B$4=0,$B85&gt;IF(Start!$D$10="Avalanche",Calc!$B$3,Calc!$B$2)),Calc!$B$17=0),"",IF(N(AD84)&lt;=0.005,"",IF(Start!$D$10="Avalanche",INDEX(Calc!IE$75:IE$89,Calc!$F$17),INDEX(Calc!IE$50:IE$64,Calc!$D$17))))</f>
        <v/>
      </c>
      <c r="AE85" s="20">
        <f>IF(AF85="","",N(AF84)*(1+Start!$E$26/12)-AF85)</f>
        <v/>
      </c>
      <c r="AF85" s="20">
        <f>IF(OR(OR(Calc!$B$4=0,$B85&gt;IF(Start!$D$10="Avalanche",Calc!$B$3,Calc!$B$2)),Calc!$B$18=0),"",IF(N(AF84)&lt;=0.005,"",IF(Start!$D$10="Avalanche",INDEX(Calc!IE$75:IE$89,Calc!$F$18),INDEX(Calc!IE$50:IE$64,Calc!$D$18))))</f>
        <v/>
      </c>
      <c r="AG85" s="20">
        <f>IF(AH85="","",N(AH84)*(1+Start!$E$27/12)-AH85)</f>
        <v/>
      </c>
      <c r="AH85" s="20">
        <f>IF(OR(OR(Calc!$B$4=0,$B85&gt;IF(Start!$D$10="Avalanche",Calc!$B$3,Calc!$B$2)),Calc!$B$19=0),"",IF(N(AH84)&lt;=0.005,"",IF(Start!$D$10="Avalanche",INDEX(Calc!IE$75:IE$89,Calc!$F$19),INDEX(Calc!IE$50:IE$64,Calc!$D$19))))</f>
        <v/>
      </c>
      <c r="AI85" s="20">
        <f>IF(AJ85="","",N(AJ84)*(1+Start!$E$28/12)-AJ85)</f>
        <v/>
      </c>
      <c r="AJ85" s="20">
        <f>IF(OR(OR(Calc!$B$4=0,$B85&gt;IF(Start!$D$10="Avalanche",Calc!$B$3,Calc!$B$2)),Calc!$B$20=0),"",IF(N(AJ84)&lt;=0.005,"",IF(Start!$D$10="Avalanche",INDEX(Calc!IE$75:IE$89,Calc!$F$20),INDEX(Calc!IE$50:IE$64,Calc!$D$20))))</f>
        <v/>
      </c>
    </row>
    <row r="86">
      <c r="B86" s="17" t="n">
        <v>80</v>
      </c>
      <c r="C86" s="19">
        <f>IF(Calc!$B$4=0,"",EDATE(Start!$D$11,79))</f>
        <v/>
      </c>
      <c r="D86" s="20">
        <f>IF(OR(Calc!$B$4=0,$B86&gt;IF(Start!$D$10="Avalanche",Calc!$B$3,Calc!$B$2)),"",SUM(G86,I86,K86,M86,O86,Q86,S86,U86,W86,Y86,AA86,AC86,AE86,AG86,AI86))</f>
        <v/>
      </c>
      <c r="E86" s="20">
        <f>IF(OR(Calc!$B$4=0,$B86&gt;IF(Start!$D$10="Avalanche",Calc!$B$3,Calc!$B$2)),"",IF(Start!$D$10="Avalanche",Calc!IF$72,Calc!IF$47))</f>
        <v/>
      </c>
      <c r="F86" s="21">
        <f>IF(Calc!$B$4=0,"",IF($B86&gt;IF(Start!$D$10="Avalanche",Calc!$B$3,Calc!$B$2),NA(),SUM(H86,J86,L86,N86,P86,R86,T86,V86,X86,Z86,AB86,AD86,AF86,AH86,AJ86)))</f>
        <v/>
      </c>
      <c r="G86" s="20">
        <f>IF(H86="","",N(H85)*(1+Start!$E$14/12)-H86)</f>
        <v/>
      </c>
      <c r="H86" s="20">
        <f>IF(OR(OR(Calc!$B$4=0,$B86&gt;IF(Start!$D$10="Avalanche",Calc!$B$3,Calc!$B$2)),Calc!$B$6=0),"",IF(N(H85)&lt;=0.005,"",IF(Start!$D$10="Avalanche",INDEX(Calc!IH$75:IH$89,Calc!$F$6),INDEX(Calc!IH$50:IH$64,Calc!$D$6))))</f>
        <v/>
      </c>
      <c r="I86" s="20">
        <f>IF(J86="","",N(J85)*(1+Start!$E$15/12)-J86)</f>
        <v/>
      </c>
      <c r="J86" s="20">
        <f>IF(OR(OR(Calc!$B$4=0,$B86&gt;IF(Start!$D$10="Avalanche",Calc!$B$3,Calc!$B$2)),Calc!$B$7=0),"",IF(N(J85)&lt;=0.005,"",IF(Start!$D$10="Avalanche",INDEX(Calc!IH$75:IH$89,Calc!$F$7),INDEX(Calc!IH$50:IH$64,Calc!$D$7))))</f>
        <v/>
      </c>
      <c r="K86" s="20">
        <f>IF(L86="","",N(L85)*(1+Start!$E$16/12)-L86)</f>
        <v/>
      </c>
      <c r="L86" s="20">
        <f>IF(OR(OR(Calc!$B$4=0,$B86&gt;IF(Start!$D$10="Avalanche",Calc!$B$3,Calc!$B$2)),Calc!$B$8=0),"",IF(N(L85)&lt;=0.005,"",IF(Start!$D$10="Avalanche",INDEX(Calc!IH$75:IH$89,Calc!$F$8),INDEX(Calc!IH$50:IH$64,Calc!$D$8))))</f>
        <v/>
      </c>
      <c r="M86" s="20">
        <f>IF(N86="","",N(N85)*(1+Start!$E$17/12)-N86)</f>
        <v/>
      </c>
      <c r="N86" s="20">
        <f>IF(OR(OR(Calc!$B$4=0,$B86&gt;IF(Start!$D$10="Avalanche",Calc!$B$3,Calc!$B$2)),Calc!$B$9=0),"",IF(N(N85)&lt;=0.005,"",IF(Start!$D$10="Avalanche",INDEX(Calc!IH$75:IH$89,Calc!$F$9),INDEX(Calc!IH$50:IH$64,Calc!$D$9))))</f>
        <v/>
      </c>
      <c r="O86" s="20">
        <f>IF(P86="","",N(P85)*(1+Start!$E$18/12)-P86)</f>
        <v/>
      </c>
      <c r="P86" s="20">
        <f>IF(OR(OR(Calc!$B$4=0,$B86&gt;IF(Start!$D$10="Avalanche",Calc!$B$3,Calc!$B$2)),Calc!$B$10=0),"",IF(N(P85)&lt;=0.005,"",IF(Start!$D$10="Avalanche",INDEX(Calc!IH$75:IH$89,Calc!$F$10),INDEX(Calc!IH$50:IH$64,Calc!$D$10))))</f>
        <v/>
      </c>
      <c r="Q86" s="20">
        <f>IF(R86="","",N(R85)*(1+Start!$E$19/12)-R86)</f>
        <v/>
      </c>
      <c r="R86" s="20">
        <f>IF(OR(OR(Calc!$B$4=0,$B86&gt;IF(Start!$D$10="Avalanche",Calc!$B$3,Calc!$B$2)),Calc!$B$11=0),"",IF(N(R85)&lt;=0.005,"",IF(Start!$D$10="Avalanche",INDEX(Calc!IH$75:IH$89,Calc!$F$11),INDEX(Calc!IH$50:IH$64,Calc!$D$11))))</f>
        <v/>
      </c>
      <c r="S86" s="20">
        <f>IF(T86="","",N(T85)*(1+Start!$E$20/12)-T86)</f>
        <v/>
      </c>
      <c r="T86" s="20">
        <f>IF(OR(OR(Calc!$B$4=0,$B86&gt;IF(Start!$D$10="Avalanche",Calc!$B$3,Calc!$B$2)),Calc!$B$12=0),"",IF(N(T85)&lt;=0.005,"",IF(Start!$D$10="Avalanche",INDEX(Calc!IH$75:IH$89,Calc!$F$12),INDEX(Calc!IH$50:IH$64,Calc!$D$12))))</f>
        <v/>
      </c>
      <c r="U86" s="20">
        <f>IF(V86="","",N(V85)*(1+Start!$E$21/12)-V86)</f>
        <v/>
      </c>
      <c r="V86" s="20">
        <f>IF(OR(OR(Calc!$B$4=0,$B86&gt;IF(Start!$D$10="Avalanche",Calc!$B$3,Calc!$B$2)),Calc!$B$13=0),"",IF(N(V85)&lt;=0.005,"",IF(Start!$D$10="Avalanche",INDEX(Calc!IH$75:IH$89,Calc!$F$13),INDEX(Calc!IH$50:IH$64,Calc!$D$13))))</f>
        <v/>
      </c>
      <c r="W86" s="20">
        <f>IF(X86="","",N(X85)*(1+Start!$E$22/12)-X86)</f>
        <v/>
      </c>
      <c r="X86" s="20">
        <f>IF(OR(OR(Calc!$B$4=0,$B86&gt;IF(Start!$D$10="Avalanche",Calc!$B$3,Calc!$B$2)),Calc!$B$14=0),"",IF(N(X85)&lt;=0.005,"",IF(Start!$D$10="Avalanche",INDEX(Calc!IH$75:IH$89,Calc!$F$14),INDEX(Calc!IH$50:IH$64,Calc!$D$14))))</f>
        <v/>
      </c>
      <c r="Y86" s="20">
        <f>IF(Z86="","",N(Z85)*(1+Start!$E$23/12)-Z86)</f>
        <v/>
      </c>
      <c r="Z86" s="20">
        <f>IF(OR(OR(Calc!$B$4=0,$B86&gt;IF(Start!$D$10="Avalanche",Calc!$B$3,Calc!$B$2)),Calc!$B$15=0),"",IF(N(Z85)&lt;=0.005,"",IF(Start!$D$10="Avalanche",INDEX(Calc!IH$75:IH$89,Calc!$F$15),INDEX(Calc!IH$50:IH$64,Calc!$D$15))))</f>
        <v/>
      </c>
      <c r="AA86" s="20">
        <f>IF(AB86="","",N(AB85)*(1+Start!$E$24/12)-AB86)</f>
        <v/>
      </c>
      <c r="AB86" s="20">
        <f>IF(OR(OR(Calc!$B$4=0,$B86&gt;IF(Start!$D$10="Avalanche",Calc!$B$3,Calc!$B$2)),Calc!$B$16=0),"",IF(N(AB85)&lt;=0.005,"",IF(Start!$D$10="Avalanche",INDEX(Calc!IH$75:IH$89,Calc!$F$16),INDEX(Calc!IH$50:IH$64,Calc!$D$16))))</f>
        <v/>
      </c>
      <c r="AC86" s="20">
        <f>IF(AD86="","",N(AD85)*(1+Start!$E$25/12)-AD86)</f>
        <v/>
      </c>
      <c r="AD86" s="20">
        <f>IF(OR(OR(Calc!$B$4=0,$B86&gt;IF(Start!$D$10="Avalanche",Calc!$B$3,Calc!$B$2)),Calc!$B$17=0),"",IF(N(AD85)&lt;=0.005,"",IF(Start!$D$10="Avalanche",INDEX(Calc!IH$75:IH$89,Calc!$F$17),INDEX(Calc!IH$50:IH$64,Calc!$D$17))))</f>
        <v/>
      </c>
      <c r="AE86" s="20">
        <f>IF(AF86="","",N(AF85)*(1+Start!$E$26/12)-AF86)</f>
        <v/>
      </c>
      <c r="AF86" s="20">
        <f>IF(OR(OR(Calc!$B$4=0,$B86&gt;IF(Start!$D$10="Avalanche",Calc!$B$3,Calc!$B$2)),Calc!$B$18=0),"",IF(N(AF85)&lt;=0.005,"",IF(Start!$D$10="Avalanche",INDEX(Calc!IH$75:IH$89,Calc!$F$18),INDEX(Calc!IH$50:IH$64,Calc!$D$18))))</f>
        <v/>
      </c>
      <c r="AG86" s="20">
        <f>IF(AH86="","",N(AH85)*(1+Start!$E$27/12)-AH86)</f>
        <v/>
      </c>
      <c r="AH86" s="20">
        <f>IF(OR(OR(Calc!$B$4=0,$B86&gt;IF(Start!$D$10="Avalanche",Calc!$B$3,Calc!$B$2)),Calc!$B$19=0),"",IF(N(AH85)&lt;=0.005,"",IF(Start!$D$10="Avalanche",INDEX(Calc!IH$75:IH$89,Calc!$F$19),INDEX(Calc!IH$50:IH$64,Calc!$D$19))))</f>
        <v/>
      </c>
      <c r="AI86" s="20">
        <f>IF(AJ86="","",N(AJ85)*(1+Start!$E$28/12)-AJ86)</f>
        <v/>
      </c>
      <c r="AJ86" s="20">
        <f>IF(OR(OR(Calc!$B$4=0,$B86&gt;IF(Start!$D$10="Avalanche",Calc!$B$3,Calc!$B$2)),Calc!$B$20=0),"",IF(N(AJ85)&lt;=0.005,"",IF(Start!$D$10="Avalanche",INDEX(Calc!IH$75:IH$89,Calc!$F$20),INDEX(Calc!IH$50:IH$64,Calc!$D$20))))</f>
        <v/>
      </c>
    </row>
    <row r="87">
      <c r="B87" s="17" t="n">
        <v>81</v>
      </c>
      <c r="C87" s="19">
        <f>IF(Calc!$B$4=0,"",EDATE(Start!$D$11,80))</f>
        <v/>
      </c>
      <c r="D87" s="20">
        <f>IF(OR(Calc!$B$4=0,$B87&gt;IF(Start!$D$10="Avalanche",Calc!$B$3,Calc!$B$2)),"",SUM(G87,I87,K87,M87,O87,Q87,S87,U87,W87,Y87,AA87,AC87,AE87,AG87,AI87))</f>
        <v/>
      </c>
      <c r="E87" s="20">
        <f>IF(OR(Calc!$B$4=0,$B87&gt;IF(Start!$D$10="Avalanche",Calc!$B$3,Calc!$B$2)),"",IF(Start!$D$10="Avalanche",Calc!II$72,Calc!II$47))</f>
        <v/>
      </c>
      <c r="F87" s="21">
        <f>IF(Calc!$B$4=0,"",IF($B87&gt;IF(Start!$D$10="Avalanche",Calc!$B$3,Calc!$B$2),NA(),SUM(H87,J87,L87,N87,P87,R87,T87,V87,X87,Z87,AB87,AD87,AF87,AH87,AJ87)))</f>
        <v/>
      </c>
      <c r="G87" s="20">
        <f>IF(H87="","",N(H86)*(1+Start!$E$14/12)-H87)</f>
        <v/>
      </c>
      <c r="H87" s="20">
        <f>IF(OR(OR(Calc!$B$4=0,$B87&gt;IF(Start!$D$10="Avalanche",Calc!$B$3,Calc!$B$2)),Calc!$B$6=0),"",IF(N(H86)&lt;=0.005,"",IF(Start!$D$10="Avalanche",INDEX(Calc!IK$75:IK$89,Calc!$F$6),INDEX(Calc!IK$50:IK$64,Calc!$D$6))))</f>
        <v/>
      </c>
      <c r="I87" s="20">
        <f>IF(J87="","",N(J86)*(1+Start!$E$15/12)-J87)</f>
        <v/>
      </c>
      <c r="J87" s="20">
        <f>IF(OR(OR(Calc!$B$4=0,$B87&gt;IF(Start!$D$10="Avalanche",Calc!$B$3,Calc!$B$2)),Calc!$B$7=0),"",IF(N(J86)&lt;=0.005,"",IF(Start!$D$10="Avalanche",INDEX(Calc!IK$75:IK$89,Calc!$F$7),INDEX(Calc!IK$50:IK$64,Calc!$D$7))))</f>
        <v/>
      </c>
      <c r="K87" s="20">
        <f>IF(L87="","",N(L86)*(1+Start!$E$16/12)-L87)</f>
        <v/>
      </c>
      <c r="L87" s="20">
        <f>IF(OR(OR(Calc!$B$4=0,$B87&gt;IF(Start!$D$10="Avalanche",Calc!$B$3,Calc!$B$2)),Calc!$B$8=0),"",IF(N(L86)&lt;=0.005,"",IF(Start!$D$10="Avalanche",INDEX(Calc!IK$75:IK$89,Calc!$F$8),INDEX(Calc!IK$50:IK$64,Calc!$D$8))))</f>
        <v/>
      </c>
      <c r="M87" s="20">
        <f>IF(N87="","",N(N86)*(1+Start!$E$17/12)-N87)</f>
        <v/>
      </c>
      <c r="N87" s="20">
        <f>IF(OR(OR(Calc!$B$4=0,$B87&gt;IF(Start!$D$10="Avalanche",Calc!$B$3,Calc!$B$2)),Calc!$B$9=0),"",IF(N(N86)&lt;=0.005,"",IF(Start!$D$10="Avalanche",INDEX(Calc!IK$75:IK$89,Calc!$F$9),INDEX(Calc!IK$50:IK$64,Calc!$D$9))))</f>
        <v/>
      </c>
      <c r="O87" s="20">
        <f>IF(P87="","",N(P86)*(1+Start!$E$18/12)-P87)</f>
        <v/>
      </c>
      <c r="P87" s="20">
        <f>IF(OR(OR(Calc!$B$4=0,$B87&gt;IF(Start!$D$10="Avalanche",Calc!$B$3,Calc!$B$2)),Calc!$B$10=0),"",IF(N(P86)&lt;=0.005,"",IF(Start!$D$10="Avalanche",INDEX(Calc!IK$75:IK$89,Calc!$F$10),INDEX(Calc!IK$50:IK$64,Calc!$D$10))))</f>
        <v/>
      </c>
      <c r="Q87" s="20">
        <f>IF(R87="","",N(R86)*(1+Start!$E$19/12)-R87)</f>
        <v/>
      </c>
      <c r="R87" s="20">
        <f>IF(OR(OR(Calc!$B$4=0,$B87&gt;IF(Start!$D$10="Avalanche",Calc!$B$3,Calc!$B$2)),Calc!$B$11=0),"",IF(N(R86)&lt;=0.005,"",IF(Start!$D$10="Avalanche",INDEX(Calc!IK$75:IK$89,Calc!$F$11),INDEX(Calc!IK$50:IK$64,Calc!$D$11))))</f>
        <v/>
      </c>
      <c r="S87" s="20">
        <f>IF(T87="","",N(T86)*(1+Start!$E$20/12)-T87)</f>
        <v/>
      </c>
      <c r="T87" s="20">
        <f>IF(OR(OR(Calc!$B$4=0,$B87&gt;IF(Start!$D$10="Avalanche",Calc!$B$3,Calc!$B$2)),Calc!$B$12=0),"",IF(N(T86)&lt;=0.005,"",IF(Start!$D$10="Avalanche",INDEX(Calc!IK$75:IK$89,Calc!$F$12),INDEX(Calc!IK$50:IK$64,Calc!$D$12))))</f>
        <v/>
      </c>
      <c r="U87" s="20">
        <f>IF(V87="","",N(V86)*(1+Start!$E$21/12)-V87)</f>
        <v/>
      </c>
      <c r="V87" s="20">
        <f>IF(OR(OR(Calc!$B$4=0,$B87&gt;IF(Start!$D$10="Avalanche",Calc!$B$3,Calc!$B$2)),Calc!$B$13=0),"",IF(N(V86)&lt;=0.005,"",IF(Start!$D$10="Avalanche",INDEX(Calc!IK$75:IK$89,Calc!$F$13),INDEX(Calc!IK$50:IK$64,Calc!$D$13))))</f>
        <v/>
      </c>
      <c r="W87" s="20">
        <f>IF(X87="","",N(X86)*(1+Start!$E$22/12)-X87)</f>
        <v/>
      </c>
      <c r="X87" s="20">
        <f>IF(OR(OR(Calc!$B$4=0,$B87&gt;IF(Start!$D$10="Avalanche",Calc!$B$3,Calc!$B$2)),Calc!$B$14=0),"",IF(N(X86)&lt;=0.005,"",IF(Start!$D$10="Avalanche",INDEX(Calc!IK$75:IK$89,Calc!$F$14),INDEX(Calc!IK$50:IK$64,Calc!$D$14))))</f>
        <v/>
      </c>
      <c r="Y87" s="20">
        <f>IF(Z87="","",N(Z86)*(1+Start!$E$23/12)-Z87)</f>
        <v/>
      </c>
      <c r="Z87" s="20">
        <f>IF(OR(OR(Calc!$B$4=0,$B87&gt;IF(Start!$D$10="Avalanche",Calc!$B$3,Calc!$B$2)),Calc!$B$15=0),"",IF(N(Z86)&lt;=0.005,"",IF(Start!$D$10="Avalanche",INDEX(Calc!IK$75:IK$89,Calc!$F$15),INDEX(Calc!IK$50:IK$64,Calc!$D$15))))</f>
        <v/>
      </c>
      <c r="AA87" s="20">
        <f>IF(AB87="","",N(AB86)*(1+Start!$E$24/12)-AB87)</f>
        <v/>
      </c>
      <c r="AB87" s="20">
        <f>IF(OR(OR(Calc!$B$4=0,$B87&gt;IF(Start!$D$10="Avalanche",Calc!$B$3,Calc!$B$2)),Calc!$B$16=0),"",IF(N(AB86)&lt;=0.005,"",IF(Start!$D$10="Avalanche",INDEX(Calc!IK$75:IK$89,Calc!$F$16),INDEX(Calc!IK$50:IK$64,Calc!$D$16))))</f>
        <v/>
      </c>
      <c r="AC87" s="20">
        <f>IF(AD87="","",N(AD86)*(1+Start!$E$25/12)-AD87)</f>
        <v/>
      </c>
      <c r="AD87" s="20">
        <f>IF(OR(OR(Calc!$B$4=0,$B87&gt;IF(Start!$D$10="Avalanche",Calc!$B$3,Calc!$B$2)),Calc!$B$17=0),"",IF(N(AD86)&lt;=0.005,"",IF(Start!$D$10="Avalanche",INDEX(Calc!IK$75:IK$89,Calc!$F$17),INDEX(Calc!IK$50:IK$64,Calc!$D$17))))</f>
        <v/>
      </c>
      <c r="AE87" s="20">
        <f>IF(AF87="","",N(AF86)*(1+Start!$E$26/12)-AF87)</f>
        <v/>
      </c>
      <c r="AF87" s="20">
        <f>IF(OR(OR(Calc!$B$4=0,$B87&gt;IF(Start!$D$10="Avalanche",Calc!$B$3,Calc!$B$2)),Calc!$B$18=0),"",IF(N(AF86)&lt;=0.005,"",IF(Start!$D$10="Avalanche",INDEX(Calc!IK$75:IK$89,Calc!$F$18),INDEX(Calc!IK$50:IK$64,Calc!$D$18))))</f>
        <v/>
      </c>
      <c r="AG87" s="20">
        <f>IF(AH87="","",N(AH86)*(1+Start!$E$27/12)-AH87)</f>
        <v/>
      </c>
      <c r="AH87" s="20">
        <f>IF(OR(OR(Calc!$B$4=0,$B87&gt;IF(Start!$D$10="Avalanche",Calc!$B$3,Calc!$B$2)),Calc!$B$19=0),"",IF(N(AH86)&lt;=0.005,"",IF(Start!$D$10="Avalanche",INDEX(Calc!IK$75:IK$89,Calc!$F$19),INDEX(Calc!IK$50:IK$64,Calc!$D$19))))</f>
        <v/>
      </c>
      <c r="AI87" s="20">
        <f>IF(AJ87="","",N(AJ86)*(1+Start!$E$28/12)-AJ87)</f>
        <v/>
      </c>
      <c r="AJ87" s="20">
        <f>IF(OR(OR(Calc!$B$4=0,$B87&gt;IF(Start!$D$10="Avalanche",Calc!$B$3,Calc!$B$2)),Calc!$B$20=0),"",IF(N(AJ86)&lt;=0.005,"",IF(Start!$D$10="Avalanche",INDEX(Calc!IK$75:IK$89,Calc!$F$20),INDEX(Calc!IK$50:IK$64,Calc!$D$20))))</f>
        <v/>
      </c>
    </row>
    <row r="88">
      <c r="B88" s="17" t="n">
        <v>82</v>
      </c>
      <c r="C88" s="19">
        <f>IF(Calc!$B$4=0,"",EDATE(Start!$D$11,81))</f>
        <v/>
      </c>
      <c r="D88" s="20">
        <f>IF(OR(Calc!$B$4=0,$B88&gt;IF(Start!$D$10="Avalanche",Calc!$B$3,Calc!$B$2)),"",SUM(G88,I88,K88,M88,O88,Q88,S88,U88,W88,Y88,AA88,AC88,AE88,AG88,AI88))</f>
        <v/>
      </c>
      <c r="E88" s="20">
        <f>IF(OR(Calc!$B$4=0,$B88&gt;IF(Start!$D$10="Avalanche",Calc!$B$3,Calc!$B$2)),"",IF(Start!$D$10="Avalanche",Calc!IL$72,Calc!IL$47))</f>
        <v/>
      </c>
      <c r="F88" s="21">
        <f>IF(Calc!$B$4=0,"",IF($B88&gt;IF(Start!$D$10="Avalanche",Calc!$B$3,Calc!$B$2),NA(),SUM(H88,J88,L88,N88,P88,R88,T88,V88,X88,Z88,AB88,AD88,AF88,AH88,AJ88)))</f>
        <v/>
      </c>
      <c r="G88" s="20">
        <f>IF(H88="","",N(H87)*(1+Start!$E$14/12)-H88)</f>
        <v/>
      </c>
      <c r="H88" s="20">
        <f>IF(OR(OR(Calc!$B$4=0,$B88&gt;IF(Start!$D$10="Avalanche",Calc!$B$3,Calc!$B$2)),Calc!$B$6=0),"",IF(N(H87)&lt;=0.005,"",IF(Start!$D$10="Avalanche",INDEX(Calc!IN$75:IN$89,Calc!$F$6),INDEX(Calc!IN$50:IN$64,Calc!$D$6))))</f>
        <v/>
      </c>
      <c r="I88" s="20">
        <f>IF(J88="","",N(J87)*(1+Start!$E$15/12)-J88)</f>
        <v/>
      </c>
      <c r="J88" s="20">
        <f>IF(OR(OR(Calc!$B$4=0,$B88&gt;IF(Start!$D$10="Avalanche",Calc!$B$3,Calc!$B$2)),Calc!$B$7=0),"",IF(N(J87)&lt;=0.005,"",IF(Start!$D$10="Avalanche",INDEX(Calc!IN$75:IN$89,Calc!$F$7),INDEX(Calc!IN$50:IN$64,Calc!$D$7))))</f>
        <v/>
      </c>
      <c r="K88" s="20">
        <f>IF(L88="","",N(L87)*(1+Start!$E$16/12)-L88)</f>
        <v/>
      </c>
      <c r="L88" s="20">
        <f>IF(OR(OR(Calc!$B$4=0,$B88&gt;IF(Start!$D$10="Avalanche",Calc!$B$3,Calc!$B$2)),Calc!$B$8=0),"",IF(N(L87)&lt;=0.005,"",IF(Start!$D$10="Avalanche",INDEX(Calc!IN$75:IN$89,Calc!$F$8),INDEX(Calc!IN$50:IN$64,Calc!$D$8))))</f>
        <v/>
      </c>
      <c r="M88" s="20">
        <f>IF(N88="","",N(N87)*(1+Start!$E$17/12)-N88)</f>
        <v/>
      </c>
      <c r="N88" s="20">
        <f>IF(OR(OR(Calc!$B$4=0,$B88&gt;IF(Start!$D$10="Avalanche",Calc!$B$3,Calc!$B$2)),Calc!$B$9=0),"",IF(N(N87)&lt;=0.005,"",IF(Start!$D$10="Avalanche",INDEX(Calc!IN$75:IN$89,Calc!$F$9),INDEX(Calc!IN$50:IN$64,Calc!$D$9))))</f>
        <v/>
      </c>
      <c r="O88" s="20">
        <f>IF(P88="","",N(P87)*(1+Start!$E$18/12)-P88)</f>
        <v/>
      </c>
      <c r="P88" s="20">
        <f>IF(OR(OR(Calc!$B$4=0,$B88&gt;IF(Start!$D$10="Avalanche",Calc!$B$3,Calc!$B$2)),Calc!$B$10=0),"",IF(N(P87)&lt;=0.005,"",IF(Start!$D$10="Avalanche",INDEX(Calc!IN$75:IN$89,Calc!$F$10),INDEX(Calc!IN$50:IN$64,Calc!$D$10))))</f>
        <v/>
      </c>
      <c r="Q88" s="20">
        <f>IF(R88="","",N(R87)*(1+Start!$E$19/12)-R88)</f>
        <v/>
      </c>
      <c r="R88" s="20">
        <f>IF(OR(OR(Calc!$B$4=0,$B88&gt;IF(Start!$D$10="Avalanche",Calc!$B$3,Calc!$B$2)),Calc!$B$11=0),"",IF(N(R87)&lt;=0.005,"",IF(Start!$D$10="Avalanche",INDEX(Calc!IN$75:IN$89,Calc!$F$11),INDEX(Calc!IN$50:IN$64,Calc!$D$11))))</f>
        <v/>
      </c>
      <c r="S88" s="20">
        <f>IF(T88="","",N(T87)*(1+Start!$E$20/12)-T88)</f>
        <v/>
      </c>
      <c r="T88" s="20">
        <f>IF(OR(OR(Calc!$B$4=0,$B88&gt;IF(Start!$D$10="Avalanche",Calc!$B$3,Calc!$B$2)),Calc!$B$12=0),"",IF(N(T87)&lt;=0.005,"",IF(Start!$D$10="Avalanche",INDEX(Calc!IN$75:IN$89,Calc!$F$12),INDEX(Calc!IN$50:IN$64,Calc!$D$12))))</f>
        <v/>
      </c>
      <c r="U88" s="20">
        <f>IF(V88="","",N(V87)*(1+Start!$E$21/12)-V88)</f>
        <v/>
      </c>
      <c r="V88" s="20">
        <f>IF(OR(OR(Calc!$B$4=0,$B88&gt;IF(Start!$D$10="Avalanche",Calc!$B$3,Calc!$B$2)),Calc!$B$13=0),"",IF(N(V87)&lt;=0.005,"",IF(Start!$D$10="Avalanche",INDEX(Calc!IN$75:IN$89,Calc!$F$13),INDEX(Calc!IN$50:IN$64,Calc!$D$13))))</f>
        <v/>
      </c>
      <c r="W88" s="20">
        <f>IF(X88="","",N(X87)*(1+Start!$E$22/12)-X88)</f>
        <v/>
      </c>
      <c r="X88" s="20">
        <f>IF(OR(OR(Calc!$B$4=0,$B88&gt;IF(Start!$D$10="Avalanche",Calc!$B$3,Calc!$B$2)),Calc!$B$14=0),"",IF(N(X87)&lt;=0.005,"",IF(Start!$D$10="Avalanche",INDEX(Calc!IN$75:IN$89,Calc!$F$14),INDEX(Calc!IN$50:IN$64,Calc!$D$14))))</f>
        <v/>
      </c>
      <c r="Y88" s="20">
        <f>IF(Z88="","",N(Z87)*(1+Start!$E$23/12)-Z88)</f>
        <v/>
      </c>
      <c r="Z88" s="20">
        <f>IF(OR(OR(Calc!$B$4=0,$B88&gt;IF(Start!$D$10="Avalanche",Calc!$B$3,Calc!$B$2)),Calc!$B$15=0),"",IF(N(Z87)&lt;=0.005,"",IF(Start!$D$10="Avalanche",INDEX(Calc!IN$75:IN$89,Calc!$F$15),INDEX(Calc!IN$50:IN$64,Calc!$D$15))))</f>
        <v/>
      </c>
      <c r="AA88" s="20">
        <f>IF(AB88="","",N(AB87)*(1+Start!$E$24/12)-AB88)</f>
        <v/>
      </c>
      <c r="AB88" s="20">
        <f>IF(OR(OR(Calc!$B$4=0,$B88&gt;IF(Start!$D$10="Avalanche",Calc!$B$3,Calc!$B$2)),Calc!$B$16=0),"",IF(N(AB87)&lt;=0.005,"",IF(Start!$D$10="Avalanche",INDEX(Calc!IN$75:IN$89,Calc!$F$16),INDEX(Calc!IN$50:IN$64,Calc!$D$16))))</f>
        <v/>
      </c>
      <c r="AC88" s="20">
        <f>IF(AD88="","",N(AD87)*(1+Start!$E$25/12)-AD88)</f>
        <v/>
      </c>
      <c r="AD88" s="20">
        <f>IF(OR(OR(Calc!$B$4=0,$B88&gt;IF(Start!$D$10="Avalanche",Calc!$B$3,Calc!$B$2)),Calc!$B$17=0),"",IF(N(AD87)&lt;=0.005,"",IF(Start!$D$10="Avalanche",INDEX(Calc!IN$75:IN$89,Calc!$F$17),INDEX(Calc!IN$50:IN$64,Calc!$D$17))))</f>
        <v/>
      </c>
      <c r="AE88" s="20">
        <f>IF(AF88="","",N(AF87)*(1+Start!$E$26/12)-AF88)</f>
        <v/>
      </c>
      <c r="AF88" s="20">
        <f>IF(OR(OR(Calc!$B$4=0,$B88&gt;IF(Start!$D$10="Avalanche",Calc!$B$3,Calc!$B$2)),Calc!$B$18=0),"",IF(N(AF87)&lt;=0.005,"",IF(Start!$D$10="Avalanche",INDEX(Calc!IN$75:IN$89,Calc!$F$18),INDEX(Calc!IN$50:IN$64,Calc!$D$18))))</f>
        <v/>
      </c>
      <c r="AG88" s="20">
        <f>IF(AH88="","",N(AH87)*(1+Start!$E$27/12)-AH88)</f>
        <v/>
      </c>
      <c r="AH88" s="20">
        <f>IF(OR(OR(Calc!$B$4=0,$B88&gt;IF(Start!$D$10="Avalanche",Calc!$B$3,Calc!$B$2)),Calc!$B$19=0),"",IF(N(AH87)&lt;=0.005,"",IF(Start!$D$10="Avalanche",INDEX(Calc!IN$75:IN$89,Calc!$F$19),INDEX(Calc!IN$50:IN$64,Calc!$D$19))))</f>
        <v/>
      </c>
      <c r="AI88" s="20">
        <f>IF(AJ88="","",N(AJ87)*(1+Start!$E$28/12)-AJ88)</f>
        <v/>
      </c>
      <c r="AJ88" s="20">
        <f>IF(OR(OR(Calc!$B$4=0,$B88&gt;IF(Start!$D$10="Avalanche",Calc!$B$3,Calc!$B$2)),Calc!$B$20=0),"",IF(N(AJ87)&lt;=0.005,"",IF(Start!$D$10="Avalanche",INDEX(Calc!IN$75:IN$89,Calc!$F$20),INDEX(Calc!IN$50:IN$64,Calc!$D$20))))</f>
        <v/>
      </c>
    </row>
    <row r="89">
      <c r="B89" s="17" t="n">
        <v>83</v>
      </c>
      <c r="C89" s="19">
        <f>IF(Calc!$B$4=0,"",EDATE(Start!$D$11,82))</f>
        <v/>
      </c>
      <c r="D89" s="20">
        <f>IF(OR(Calc!$B$4=0,$B89&gt;IF(Start!$D$10="Avalanche",Calc!$B$3,Calc!$B$2)),"",SUM(G89,I89,K89,M89,O89,Q89,S89,U89,W89,Y89,AA89,AC89,AE89,AG89,AI89))</f>
        <v/>
      </c>
      <c r="E89" s="20">
        <f>IF(OR(Calc!$B$4=0,$B89&gt;IF(Start!$D$10="Avalanche",Calc!$B$3,Calc!$B$2)),"",IF(Start!$D$10="Avalanche",Calc!IO$72,Calc!IO$47))</f>
        <v/>
      </c>
      <c r="F89" s="21">
        <f>IF(Calc!$B$4=0,"",IF($B89&gt;IF(Start!$D$10="Avalanche",Calc!$B$3,Calc!$B$2),NA(),SUM(H89,J89,L89,N89,P89,R89,T89,V89,X89,Z89,AB89,AD89,AF89,AH89,AJ89)))</f>
        <v/>
      </c>
      <c r="G89" s="20">
        <f>IF(H89="","",N(H88)*(1+Start!$E$14/12)-H89)</f>
        <v/>
      </c>
      <c r="H89" s="20">
        <f>IF(OR(OR(Calc!$B$4=0,$B89&gt;IF(Start!$D$10="Avalanche",Calc!$B$3,Calc!$B$2)),Calc!$B$6=0),"",IF(N(H88)&lt;=0.005,"",IF(Start!$D$10="Avalanche",INDEX(Calc!IQ$75:IQ$89,Calc!$F$6),INDEX(Calc!IQ$50:IQ$64,Calc!$D$6))))</f>
        <v/>
      </c>
      <c r="I89" s="20">
        <f>IF(J89="","",N(J88)*(1+Start!$E$15/12)-J89)</f>
        <v/>
      </c>
      <c r="J89" s="20">
        <f>IF(OR(OR(Calc!$B$4=0,$B89&gt;IF(Start!$D$10="Avalanche",Calc!$B$3,Calc!$B$2)),Calc!$B$7=0),"",IF(N(J88)&lt;=0.005,"",IF(Start!$D$10="Avalanche",INDEX(Calc!IQ$75:IQ$89,Calc!$F$7),INDEX(Calc!IQ$50:IQ$64,Calc!$D$7))))</f>
        <v/>
      </c>
      <c r="K89" s="20">
        <f>IF(L89="","",N(L88)*(1+Start!$E$16/12)-L89)</f>
        <v/>
      </c>
      <c r="L89" s="20">
        <f>IF(OR(OR(Calc!$B$4=0,$B89&gt;IF(Start!$D$10="Avalanche",Calc!$B$3,Calc!$B$2)),Calc!$B$8=0),"",IF(N(L88)&lt;=0.005,"",IF(Start!$D$10="Avalanche",INDEX(Calc!IQ$75:IQ$89,Calc!$F$8),INDEX(Calc!IQ$50:IQ$64,Calc!$D$8))))</f>
        <v/>
      </c>
      <c r="M89" s="20">
        <f>IF(N89="","",N(N88)*(1+Start!$E$17/12)-N89)</f>
        <v/>
      </c>
      <c r="N89" s="20">
        <f>IF(OR(OR(Calc!$B$4=0,$B89&gt;IF(Start!$D$10="Avalanche",Calc!$B$3,Calc!$B$2)),Calc!$B$9=0),"",IF(N(N88)&lt;=0.005,"",IF(Start!$D$10="Avalanche",INDEX(Calc!IQ$75:IQ$89,Calc!$F$9),INDEX(Calc!IQ$50:IQ$64,Calc!$D$9))))</f>
        <v/>
      </c>
      <c r="O89" s="20">
        <f>IF(P89="","",N(P88)*(1+Start!$E$18/12)-P89)</f>
        <v/>
      </c>
      <c r="P89" s="20">
        <f>IF(OR(OR(Calc!$B$4=0,$B89&gt;IF(Start!$D$10="Avalanche",Calc!$B$3,Calc!$B$2)),Calc!$B$10=0),"",IF(N(P88)&lt;=0.005,"",IF(Start!$D$10="Avalanche",INDEX(Calc!IQ$75:IQ$89,Calc!$F$10),INDEX(Calc!IQ$50:IQ$64,Calc!$D$10))))</f>
        <v/>
      </c>
      <c r="Q89" s="20">
        <f>IF(R89="","",N(R88)*(1+Start!$E$19/12)-R89)</f>
        <v/>
      </c>
      <c r="R89" s="20">
        <f>IF(OR(OR(Calc!$B$4=0,$B89&gt;IF(Start!$D$10="Avalanche",Calc!$B$3,Calc!$B$2)),Calc!$B$11=0),"",IF(N(R88)&lt;=0.005,"",IF(Start!$D$10="Avalanche",INDEX(Calc!IQ$75:IQ$89,Calc!$F$11),INDEX(Calc!IQ$50:IQ$64,Calc!$D$11))))</f>
        <v/>
      </c>
      <c r="S89" s="20">
        <f>IF(T89="","",N(T88)*(1+Start!$E$20/12)-T89)</f>
        <v/>
      </c>
      <c r="T89" s="20">
        <f>IF(OR(OR(Calc!$B$4=0,$B89&gt;IF(Start!$D$10="Avalanche",Calc!$B$3,Calc!$B$2)),Calc!$B$12=0),"",IF(N(T88)&lt;=0.005,"",IF(Start!$D$10="Avalanche",INDEX(Calc!IQ$75:IQ$89,Calc!$F$12),INDEX(Calc!IQ$50:IQ$64,Calc!$D$12))))</f>
        <v/>
      </c>
      <c r="U89" s="20">
        <f>IF(V89="","",N(V88)*(1+Start!$E$21/12)-V89)</f>
        <v/>
      </c>
      <c r="V89" s="20">
        <f>IF(OR(OR(Calc!$B$4=0,$B89&gt;IF(Start!$D$10="Avalanche",Calc!$B$3,Calc!$B$2)),Calc!$B$13=0),"",IF(N(V88)&lt;=0.005,"",IF(Start!$D$10="Avalanche",INDEX(Calc!IQ$75:IQ$89,Calc!$F$13),INDEX(Calc!IQ$50:IQ$64,Calc!$D$13))))</f>
        <v/>
      </c>
      <c r="W89" s="20">
        <f>IF(X89="","",N(X88)*(1+Start!$E$22/12)-X89)</f>
        <v/>
      </c>
      <c r="X89" s="20">
        <f>IF(OR(OR(Calc!$B$4=0,$B89&gt;IF(Start!$D$10="Avalanche",Calc!$B$3,Calc!$B$2)),Calc!$B$14=0),"",IF(N(X88)&lt;=0.005,"",IF(Start!$D$10="Avalanche",INDEX(Calc!IQ$75:IQ$89,Calc!$F$14),INDEX(Calc!IQ$50:IQ$64,Calc!$D$14))))</f>
        <v/>
      </c>
      <c r="Y89" s="20">
        <f>IF(Z89="","",N(Z88)*(1+Start!$E$23/12)-Z89)</f>
        <v/>
      </c>
      <c r="Z89" s="20">
        <f>IF(OR(OR(Calc!$B$4=0,$B89&gt;IF(Start!$D$10="Avalanche",Calc!$B$3,Calc!$B$2)),Calc!$B$15=0),"",IF(N(Z88)&lt;=0.005,"",IF(Start!$D$10="Avalanche",INDEX(Calc!IQ$75:IQ$89,Calc!$F$15),INDEX(Calc!IQ$50:IQ$64,Calc!$D$15))))</f>
        <v/>
      </c>
      <c r="AA89" s="20">
        <f>IF(AB89="","",N(AB88)*(1+Start!$E$24/12)-AB89)</f>
        <v/>
      </c>
      <c r="AB89" s="20">
        <f>IF(OR(OR(Calc!$B$4=0,$B89&gt;IF(Start!$D$10="Avalanche",Calc!$B$3,Calc!$B$2)),Calc!$B$16=0),"",IF(N(AB88)&lt;=0.005,"",IF(Start!$D$10="Avalanche",INDEX(Calc!IQ$75:IQ$89,Calc!$F$16),INDEX(Calc!IQ$50:IQ$64,Calc!$D$16))))</f>
        <v/>
      </c>
      <c r="AC89" s="20">
        <f>IF(AD89="","",N(AD88)*(1+Start!$E$25/12)-AD89)</f>
        <v/>
      </c>
      <c r="AD89" s="20">
        <f>IF(OR(OR(Calc!$B$4=0,$B89&gt;IF(Start!$D$10="Avalanche",Calc!$B$3,Calc!$B$2)),Calc!$B$17=0),"",IF(N(AD88)&lt;=0.005,"",IF(Start!$D$10="Avalanche",INDEX(Calc!IQ$75:IQ$89,Calc!$F$17),INDEX(Calc!IQ$50:IQ$64,Calc!$D$17))))</f>
        <v/>
      </c>
      <c r="AE89" s="20">
        <f>IF(AF89="","",N(AF88)*(1+Start!$E$26/12)-AF89)</f>
        <v/>
      </c>
      <c r="AF89" s="20">
        <f>IF(OR(OR(Calc!$B$4=0,$B89&gt;IF(Start!$D$10="Avalanche",Calc!$B$3,Calc!$B$2)),Calc!$B$18=0),"",IF(N(AF88)&lt;=0.005,"",IF(Start!$D$10="Avalanche",INDEX(Calc!IQ$75:IQ$89,Calc!$F$18),INDEX(Calc!IQ$50:IQ$64,Calc!$D$18))))</f>
        <v/>
      </c>
      <c r="AG89" s="20">
        <f>IF(AH89="","",N(AH88)*(1+Start!$E$27/12)-AH89)</f>
        <v/>
      </c>
      <c r="AH89" s="20">
        <f>IF(OR(OR(Calc!$B$4=0,$B89&gt;IF(Start!$D$10="Avalanche",Calc!$B$3,Calc!$B$2)),Calc!$B$19=0),"",IF(N(AH88)&lt;=0.005,"",IF(Start!$D$10="Avalanche",INDEX(Calc!IQ$75:IQ$89,Calc!$F$19),INDEX(Calc!IQ$50:IQ$64,Calc!$D$19))))</f>
        <v/>
      </c>
      <c r="AI89" s="20">
        <f>IF(AJ89="","",N(AJ88)*(1+Start!$E$28/12)-AJ89)</f>
        <v/>
      </c>
      <c r="AJ89" s="20">
        <f>IF(OR(OR(Calc!$B$4=0,$B89&gt;IF(Start!$D$10="Avalanche",Calc!$B$3,Calc!$B$2)),Calc!$B$20=0),"",IF(N(AJ88)&lt;=0.005,"",IF(Start!$D$10="Avalanche",INDEX(Calc!IQ$75:IQ$89,Calc!$F$20),INDEX(Calc!IQ$50:IQ$64,Calc!$D$20))))</f>
        <v/>
      </c>
    </row>
    <row r="90">
      <c r="B90" s="17" t="n">
        <v>84</v>
      </c>
      <c r="C90" s="19">
        <f>IF(Calc!$B$4=0,"",EDATE(Start!$D$11,83))</f>
        <v/>
      </c>
      <c r="D90" s="20">
        <f>IF(OR(Calc!$B$4=0,$B90&gt;IF(Start!$D$10="Avalanche",Calc!$B$3,Calc!$B$2)),"",SUM(G90,I90,K90,M90,O90,Q90,S90,U90,W90,Y90,AA90,AC90,AE90,AG90,AI90))</f>
        <v/>
      </c>
      <c r="E90" s="20">
        <f>IF(OR(Calc!$B$4=0,$B90&gt;IF(Start!$D$10="Avalanche",Calc!$B$3,Calc!$B$2)),"",IF(Start!$D$10="Avalanche",Calc!IR$72,Calc!IR$47))</f>
        <v/>
      </c>
      <c r="F90" s="21">
        <f>IF(Calc!$B$4=0,"",IF($B90&gt;IF(Start!$D$10="Avalanche",Calc!$B$3,Calc!$B$2),NA(),SUM(H90,J90,L90,N90,P90,R90,T90,V90,X90,Z90,AB90,AD90,AF90,AH90,AJ90)))</f>
        <v/>
      </c>
      <c r="G90" s="20">
        <f>IF(H90="","",N(H89)*(1+Start!$E$14/12)-H90)</f>
        <v/>
      </c>
      <c r="H90" s="20">
        <f>IF(OR(OR(Calc!$B$4=0,$B90&gt;IF(Start!$D$10="Avalanche",Calc!$B$3,Calc!$B$2)),Calc!$B$6=0),"",IF(N(H89)&lt;=0.005,"",IF(Start!$D$10="Avalanche",INDEX(Calc!IT$75:IT$89,Calc!$F$6),INDEX(Calc!IT$50:IT$64,Calc!$D$6))))</f>
        <v/>
      </c>
      <c r="I90" s="20">
        <f>IF(J90="","",N(J89)*(1+Start!$E$15/12)-J90)</f>
        <v/>
      </c>
      <c r="J90" s="20">
        <f>IF(OR(OR(Calc!$B$4=0,$B90&gt;IF(Start!$D$10="Avalanche",Calc!$B$3,Calc!$B$2)),Calc!$B$7=0),"",IF(N(J89)&lt;=0.005,"",IF(Start!$D$10="Avalanche",INDEX(Calc!IT$75:IT$89,Calc!$F$7),INDEX(Calc!IT$50:IT$64,Calc!$D$7))))</f>
        <v/>
      </c>
      <c r="K90" s="20">
        <f>IF(L90="","",N(L89)*(1+Start!$E$16/12)-L90)</f>
        <v/>
      </c>
      <c r="L90" s="20">
        <f>IF(OR(OR(Calc!$B$4=0,$B90&gt;IF(Start!$D$10="Avalanche",Calc!$B$3,Calc!$B$2)),Calc!$B$8=0),"",IF(N(L89)&lt;=0.005,"",IF(Start!$D$10="Avalanche",INDEX(Calc!IT$75:IT$89,Calc!$F$8),INDEX(Calc!IT$50:IT$64,Calc!$D$8))))</f>
        <v/>
      </c>
      <c r="M90" s="20">
        <f>IF(N90="","",N(N89)*(1+Start!$E$17/12)-N90)</f>
        <v/>
      </c>
      <c r="N90" s="20">
        <f>IF(OR(OR(Calc!$B$4=0,$B90&gt;IF(Start!$D$10="Avalanche",Calc!$B$3,Calc!$B$2)),Calc!$B$9=0),"",IF(N(N89)&lt;=0.005,"",IF(Start!$D$10="Avalanche",INDEX(Calc!IT$75:IT$89,Calc!$F$9),INDEX(Calc!IT$50:IT$64,Calc!$D$9))))</f>
        <v/>
      </c>
      <c r="O90" s="20">
        <f>IF(P90="","",N(P89)*(1+Start!$E$18/12)-P90)</f>
        <v/>
      </c>
      <c r="P90" s="20">
        <f>IF(OR(OR(Calc!$B$4=0,$B90&gt;IF(Start!$D$10="Avalanche",Calc!$B$3,Calc!$B$2)),Calc!$B$10=0),"",IF(N(P89)&lt;=0.005,"",IF(Start!$D$10="Avalanche",INDEX(Calc!IT$75:IT$89,Calc!$F$10),INDEX(Calc!IT$50:IT$64,Calc!$D$10))))</f>
        <v/>
      </c>
      <c r="Q90" s="20">
        <f>IF(R90="","",N(R89)*(1+Start!$E$19/12)-R90)</f>
        <v/>
      </c>
      <c r="R90" s="20">
        <f>IF(OR(OR(Calc!$B$4=0,$B90&gt;IF(Start!$D$10="Avalanche",Calc!$B$3,Calc!$B$2)),Calc!$B$11=0),"",IF(N(R89)&lt;=0.005,"",IF(Start!$D$10="Avalanche",INDEX(Calc!IT$75:IT$89,Calc!$F$11),INDEX(Calc!IT$50:IT$64,Calc!$D$11))))</f>
        <v/>
      </c>
      <c r="S90" s="20">
        <f>IF(T90="","",N(T89)*(1+Start!$E$20/12)-T90)</f>
        <v/>
      </c>
      <c r="T90" s="20">
        <f>IF(OR(OR(Calc!$B$4=0,$B90&gt;IF(Start!$D$10="Avalanche",Calc!$B$3,Calc!$B$2)),Calc!$B$12=0),"",IF(N(T89)&lt;=0.005,"",IF(Start!$D$10="Avalanche",INDEX(Calc!IT$75:IT$89,Calc!$F$12),INDEX(Calc!IT$50:IT$64,Calc!$D$12))))</f>
        <v/>
      </c>
      <c r="U90" s="20">
        <f>IF(V90="","",N(V89)*(1+Start!$E$21/12)-V90)</f>
        <v/>
      </c>
      <c r="V90" s="20">
        <f>IF(OR(OR(Calc!$B$4=0,$B90&gt;IF(Start!$D$10="Avalanche",Calc!$B$3,Calc!$B$2)),Calc!$B$13=0),"",IF(N(V89)&lt;=0.005,"",IF(Start!$D$10="Avalanche",INDEX(Calc!IT$75:IT$89,Calc!$F$13),INDEX(Calc!IT$50:IT$64,Calc!$D$13))))</f>
        <v/>
      </c>
      <c r="W90" s="20">
        <f>IF(X90="","",N(X89)*(1+Start!$E$22/12)-X90)</f>
        <v/>
      </c>
      <c r="X90" s="20">
        <f>IF(OR(OR(Calc!$B$4=0,$B90&gt;IF(Start!$D$10="Avalanche",Calc!$B$3,Calc!$B$2)),Calc!$B$14=0),"",IF(N(X89)&lt;=0.005,"",IF(Start!$D$10="Avalanche",INDEX(Calc!IT$75:IT$89,Calc!$F$14),INDEX(Calc!IT$50:IT$64,Calc!$D$14))))</f>
        <v/>
      </c>
      <c r="Y90" s="20">
        <f>IF(Z90="","",N(Z89)*(1+Start!$E$23/12)-Z90)</f>
        <v/>
      </c>
      <c r="Z90" s="20">
        <f>IF(OR(OR(Calc!$B$4=0,$B90&gt;IF(Start!$D$10="Avalanche",Calc!$B$3,Calc!$B$2)),Calc!$B$15=0),"",IF(N(Z89)&lt;=0.005,"",IF(Start!$D$10="Avalanche",INDEX(Calc!IT$75:IT$89,Calc!$F$15),INDEX(Calc!IT$50:IT$64,Calc!$D$15))))</f>
        <v/>
      </c>
      <c r="AA90" s="20">
        <f>IF(AB90="","",N(AB89)*(1+Start!$E$24/12)-AB90)</f>
        <v/>
      </c>
      <c r="AB90" s="20">
        <f>IF(OR(OR(Calc!$B$4=0,$B90&gt;IF(Start!$D$10="Avalanche",Calc!$B$3,Calc!$B$2)),Calc!$B$16=0),"",IF(N(AB89)&lt;=0.005,"",IF(Start!$D$10="Avalanche",INDEX(Calc!IT$75:IT$89,Calc!$F$16),INDEX(Calc!IT$50:IT$64,Calc!$D$16))))</f>
        <v/>
      </c>
      <c r="AC90" s="20">
        <f>IF(AD90="","",N(AD89)*(1+Start!$E$25/12)-AD90)</f>
        <v/>
      </c>
      <c r="AD90" s="20">
        <f>IF(OR(OR(Calc!$B$4=0,$B90&gt;IF(Start!$D$10="Avalanche",Calc!$B$3,Calc!$B$2)),Calc!$B$17=0),"",IF(N(AD89)&lt;=0.005,"",IF(Start!$D$10="Avalanche",INDEX(Calc!IT$75:IT$89,Calc!$F$17),INDEX(Calc!IT$50:IT$64,Calc!$D$17))))</f>
        <v/>
      </c>
      <c r="AE90" s="20">
        <f>IF(AF90="","",N(AF89)*(1+Start!$E$26/12)-AF90)</f>
        <v/>
      </c>
      <c r="AF90" s="20">
        <f>IF(OR(OR(Calc!$B$4=0,$B90&gt;IF(Start!$D$10="Avalanche",Calc!$B$3,Calc!$B$2)),Calc!$B$18=0),"",IF(N(AF89)&lt;=0.005,"",IF(Start!$D$10="Avalanche",INDEX(Calc!IT$75:IT$89,Calc!$F$18),INDEX(Calc!IT$50:IT$64,Calc!$D$18))))</f>
        <v/>
      </c>
      <c r="AG90" s="20">
        <f>IF(AH90="","",N(AH89)*(1+Start!$E$27/12)-AH90)</f>
        <v/>
      </c>
      <c r="AH90" s="20">
        <f>IF(OR(OR(Calc!$B$4=0,$B90&gt;IF(Start!$D$10="Avalanche",Calc!$B$3,Calc!$B$2)),Calc!$B$19=0),"",IF(N(AH89)&lt;=0.005,"",IF(Start!$D$10="Avalanche",INDEX(Calc!IT$75:IT$89,Calc!$F$19),INDEX(Calc!IT$50:IT$64,Calc!$D$19))))</f>
        <v/>
      </c>
      <c r="AI90" s="20">
        <f>IF(AJ90="","",N(AJ89)*(1+Start!$E$28/12)-AJ90)</f>
        <v/>
      </c>
      <c r="AJ90" s="20">
        <f>IF(OR(OR(Calc!$B$4=0,$B90&gt;IF(Start!$D$10="Avalanche",Calc!$B$3,Calc!$B$2)),Calc!$B$20=0),"",IF(N(AJ89)&lt;=0.005,"",IF(Start!$D$10="Avalanche",INDEX(Calc!IT$75:IT$89,Calc!$F$20),INDEX(Calc!IT$50:IT$64,Calc!$D$20))))</f>
        <v/>
      </c>
    </row>
    <row r="91">
      <c r="B91" s="17" t="n">
        <v>85</v>
      </c>
      <c r="C91" s="19">
        <f>IF(Calc!$B$4=0,"",EDATE(Start!$D$11,84))</f>
        <v/>
      </c>
      <c r="D91" s="20">
        <f>IF(OR(Calc!$B$4=0,$B91&gt;IF(Start!$D$10="Avalanche",Calc!$B$3,Calc!$B$2)),"",SUM(G91,I91,K91,M91,O91,Q91,S91,U91,W91,Y91,AA91,AC91,AE91,AG91,AI91))</f>
        <v/>
      </c>
      <c r="E91" s="20">
        <f>IF(OR(Calc!$B$4=0,$B91&gt;IF(Start!$D$10="Avalanche",Calc!$B$3,Calc!$B$2)),"",IF(Start!$D$10="Avalanche",Calc!IU$72,Calc!IU$47))</f>
        <v/>
      </c>
      <c r="F91" s="21">
        <f>IF(Calc!$B$4=0,"",IF($B91&gt;IF(Start!$D$10="Avalanche",Calc!$B$3,Calc!$B$2),NA(),SUM(H91,J91,L91,N91,P91,R91,T91,V91,X91,Z91,AB91,AD91,AF91,AH91,AJ91)))</f>
        <v/>
      </c>
      <c r="G91" s="20">
        <f>IF(H91="","",N(H90)*(1+Start!$E$14/12)-H91)</f>
        <v/>
      </c>
      <c r="H91" s="20">
        <f>IF(OR(OR(Calc!$B$4=0,$B91&gt;IF(Start!$D$10="Avalanche",Calc!$B$3,Calc!$B$2)),Calc!$B$6=0),"",IF(N(H90)&lt;=0.005,"",IF(Start!$D$10="Avalanche",INDEX(Calc!IW$75:IW$89,Calc!$F$6),INDEX(Calc!IW$50:IW$64,Calc!$D$6))))</f>
        <v/>
      </c>
      <c r="I91" s="20">
        <f>IF(J91="","",N(J90)*(1+Start!$E$15/12)-J91)</f>
        <v/>
      </c>
      <c r="J91" s="20">
        <f>IF(OR(OR(Calc!$B$4=0,$B91&gt;IF(Start!$D$10="Avalanche",Calc!$B$3,Calc!$B$2)),Calc!$B$7=0),"",IF(N(J90)&lt;=0.005,"",IF(Start!$D$10="Avalanche",INDEX(Calc!IW$75:IW$89,Calc!$F$7),INDEX(Calc!IW$50:IW$64,Calc!$D$7))))</f>
        <v/>
      </c>
      <c r="K91" s="20">
        <f>IF(L91="","",N(L90)*(1+Start!$E$16/12)-L91)</f>
        <v/>
      </c>
      <c r="L91" s="20">
        <f>IF(OR(OR(Calc!$B$4=0,$B91&gt;IF(Start!$D$10="Avalanche",Calc!$B$3,Calc!$B$2)),Calc!$B$8=0),"",IF(N(L90)&lt;=0.005,"",IF(Start!$D$10="Avalanche",INDEX(Calc!IW$75:IW$89,Calc!$F$8),INDEX(Calc!IW$50:IW$64,Calc!$D$8))))</f>
        <v/>
      </c>
      <c r="M91" s="20">
        <f>IF(N91="","",N(N90)*(1+Start!$E$17/12)-N91)</f>
        <v/>
      </c>
      <c r="N91" s="20">
        <f>IF(OR(OR(Calc!$B$4=0,$B91&gt;IF(Start!$D$10="Avalanche",Calc!$B$3,Calc!$B$2)),Calc!$B$9=0),"",IF(N(N90)&lt;=0.005,"",IF(Start!$D$10="Avalanche",INDEX(Calc!IW$75:IW$89,Calc!$F$9),INDEX(Calc!IW$50:IW$64,Calc!$D$9))))</f>
        <v/>
      </c>
      <c r="O91" s="20">
        <f>IF(P91="","",N(P90)*(1+Start!$E$18/12)-P91)</f>
        <v/>
      </c>
      <c r="P91" s="20">
        <f>IF(OR(OR(Calc!$B$4=0,$B91&gt;IF(Start!$D$10="Avalanche",Calc!$B$3,Calc!$B$2)),Calc!$B$10=0),"",IF(N(P90)&lt;=0.005,"",IF(Start!$D$10="Avalanche",INDEX(Calc!IW$75:IW$89,Calc!$F$10),INDEX(Calc!IW$50:IW$64,Calc!$D$10))))</f>
        <v/>
      </c>
      <c r="Q91" s="20">
        <f>IF(R91="","",N(R90)*(1+Start!$E$19/12)-R91)</f>
        <v/>
      </c>
      <c r="R91" s="20">
        <f>IF(OR(OR(Calc!$B$4=0,$B91&gt;IF(Start!$D$10="Avalanche",Calc!$B$3,Calc!$B$2)),Calc!$B$11=0),"",IF(N(R90)&lt;=0.005,"",IF(Start!$D$10="Avalanche",INDEX(Calc!IW$75:IW$89,Calc!$F$11),INDEX(Calc!IW$50:IW$64,Calc!$D$11))))</f>
        <v/>
      </c>
      <c r="S91" s="20">
        <f>IF(T91="","",N(T90)*(1+Start!$E$20/12)-T91)</f>
        <v/>
      </c>
      <c r="T91" s="20">
        <f>IF(OR(OR(Calc!$B$4=0,$B91&gt;IF(Start!$D$10="Avalanche",Calc!$B$3,Calc!$B$2)),Calc!$B$12=0),"",IF(N(T90)&lt;=0.005,"",IF(Start!$D$10="Avalanche",INDEX(Calc!IW$75:IW$89,Calc!$F$12),INDEX(Calc!IW$50:IW$64,Calc!$D$12))))</f>
        <v/>
      </c>
      <c r="U91" s="20">
        <f>IF(V91="","",N(V90)*(1+Start!$E$21/12)-V91)</f>
        <v/>
      </c>
      <c r="V91" s="20">
        <f>IF(OR(OR(Calc!$B$4=0,$B91&gt;IF(Start!$D$10="Avalanche",Calc!$B$3,Calc!$B$2)),Calc!$B$13=0),"",IF(N(V90)&lt;=0.005,"",IF(Start!$D$10="Avalanche",INDEX(Calc!IW$75:IW$89,Calc!$F$13),INDEX(Calc!IW$50:IW$64,Calc!$D$13))))</f>
        <v/>
      </c>
      <c r="W91" s="20">
        <f>IF(X91="","",N(X90)*(1+Start!$E$22/12)-X91)</f>
        <v/>
      </c>
      <c r="X91" s="20">
        <f>IF(OR(OR(Calc!$B$4=0,$B91&gt;IF(Start!$D$10="Avalanche",Calc!$B$3,Calc!$B$2)),Calc!$B$14=0),"",IF(N(X90)&lt;=0.005,"",IF(Start!$D$10="Avalanche",INDEX(Calc!IW$75:IW$89,Calc!$F$14),INDEX(Calc!IW$50:IW$64,Calc!$D$14))))</f>
        <v/>
      </c>
      <c r="Y91" s="20">
        <f>IF(Z91="","",N(Z90)*(1+Start!$E$23/12)-Z91)</f>
        <v/>
      </c>
      <c r="Z91" s="20">
        <f>IF(OR(OR(Calc!$B$4=0,$B91&gt;IF(Start!$D$10="Avalanche",Calc!$B$3,Calc!$B$2)),Calc!$B$15=0),"",IF(N(Z90)&lt;=0.005,"",IF(Start!$D$10="Avalanche",INDEX(Calc!IW$75:IW$89,Calc!$F$15),INDEX(Calc!IW$50:IW$64,Calc!$D$15))))</f>
        <v/>
      </c>
      <c r="AA91" s="20">
        <f>IF(AB91="","",N(AB90)*(1+Start!$E$24/12)-AB91)</f>
        <v/>
      </c>
      <c r="AB91" s="20">
        <f>IF(OR(OR(Calc!$B$4=0,$B91&gt;IF(Start!$D$10="Avalanche",Calc!$B$3,Calc!$B$2)),Calc!$B$16=0),"",IF(N(AB90)&lt;=0.005,"",IF(Start!$D$10="Avalanche",INDEX(Calc!IW$75:IW$89,Calc!$F$16),INDEX(Calc!IW$50:IW$64,Calc!$D$16))))</f>
        <v/>
      </c>
      <c r="AC91" s="20">
        <f>IF(AD91="","",N(AD90)*(1+Start!$E$25/12)-AD91)</f>
        <v/>
      </c>
      <c r="AD91" s="20">
        <f>IF(OR(OR(Calc!$B$4=0,$B91&gt;IF(Start!$D$10="Avalanche",Calc!$B$3,Calc!$B$2)),Calc!$B$17=0),"",IF(N(AD90)&lt;=0.005,"",IF(Start!$D$10="Avalanche",INDEX(Calc!IW$75:IW$89,Calc!$F$17),INDEX(Calc!IW$50:IW$64,Calc!$D$17))))</f>
        <v/>
      </c>
      <c r="AE91" s="20">
        <f>IF(AF91="","",N(AF90)*(1+Start!$E$26/12)-AF91)</f>
        <v/>
      </c>
      <c r="AF91" s="20">
        <f>IF(OR(OR(Calc!$B$4=0,$B91&gt;IF(Start!$D$10="Avalanche",Calc!$B$3,Calc!$B$2)),Calc!$B$18=0),"",IF(N(AF90)&lt;=0.005,"",IF(Start!$D$10="Avalanche",INDEX(Calc!IW$75:IW$89,Calc!$F$18),INDEX(Calc!IW$50:IW$64,Calc!$D$18))))</f>
        <v/>
      </c>
      <c r="AG91" s="20">
        <f>IF(AH91="","",N(AH90)*(1+Start!$E$27/12)-AH91)</f>
        <v/>
      </c>
      <c r="AH91" s="20">
        <f>IF(OR(OR(Calc!$B$4=0,$B91&gt;IF(Start!$D$10="Avalanche",Calc!$B$3,Calc!$B$2)),Calc!$B$19=0),"",IF(N(AH90)&lt;=0.005,"",IF(Start!$D$10="Avalanche",INDEX(Calc!IW$75:IW$89,Calc!$F$19),INDEX(Calc!IW$50:IW$64,Calc!$D$19))))</f>
        <v/>
      </c>
      <c r="AI91" s="20">
        <f>IF(AJ91="","",N(AJ90)*(1+Start!$E$28/12)-AJ91)</f>
        <v/>
      </c>
      <c r="AJ91" s="20">
        <f>IF(OR(OR(Calc!$B$4=0,$B91&gt;IF(Start!$D$10="Avalanche",Calc!$B$3,Calc!$B$2)),Calc!$B$20=0),"",IF(N(AJ90)&lt;=0.005,"",IF(Start!$D$10="Avalanche",INDEX(Calc!IW$75:IW$89,Calc!$F$20),INDEX(Calc!IW$50:IW$64,Calc!$D$20))))</f>
        <v/>
      </c>
    </row>
    <row r="92">
      <c r="B92" s="17" t="n">
        <v>86</v>
      </c>
      <c r="C92" s="19">
        <f>IF(Calc!$B$4=0,"",EDATE(Start!$D$11,85))</f>
        <v/>
      </c>
      <c r="D92" s="20">
        <f>IF(OR(Calc!$B$4=0,$B92&gt;IF(Start!$D$10="Avalanche",Calc!$B$3,Calc!$B$2)),"",SUM(G92,I92,K92,M92,O92,Q92,S92,U92,W92,Y92,AA92,AC92,AE92,AG92,AI92))</f>
        <v/>
      </c>
      <c r="E92" s="20">
        <f>IF(OR(Calc!$B$4=0,$B92&gt;IF(Start!$D$10="Avalanche",Calc!$B$3,Calc!$B$2)),"",IF(Start!$D$10="Avalanche",Calc!IX$72,Calc!IX$47))</f>
        <v/>
      </c>
      <c r="F92" s="21">
        <f>IF(Calc!$B$4=0,"",IF($B92&gt;IF(Start!$D$10="Avalanche",Calc!$B$3,Calc!$B$2),NA(),SUM(H92,J92,L92,N92,P92,R92,T92,V92,X92,Z92,AB92,AD92,AF92,AH92,AJ92)))</f>
        <v/>
      </c>
      <c r="G92" s="20">
        <f>IF(H92="","",N(H91)*(1+Start!$E$14/12)-H92)</f>
        <v/>
      </c>
      <c r="H92" s="20">
        <f>IF(OR(OR(Calc!$B$4=0,$B92&gt;IF(Start!$D$10="Avalanche",Calc!$B$3,Calc!$B$2)),Calc!$B$6=0),"",IF(N(H91)&lt;=0.005,"",IF(Start!$D$10="Avalanche",INDEX(Calc!IZ$75:IZ$89,Calc!$F$6),INDEX(Calc!IZ$50:IZ$64,Calc!$D$6))))</f>
        <v/>
      </c>
      <c r="I92" s="20">
        <f>IF(J92="","",N(J91)*(1+Start!$E$15/12)-J92)</f>
        <v/>
      </c>
      <c r="J92" s="20">
        <f>IF(OR(OR(Calc!$B$4=0,$B92&gt;IF(Start!$D$10="Avalanche",Calc!$B$3,Calc!$B$2)),Calc!$B$7=0),"",IF(N(J91)&lt;=0.005,"",IF(Start!$D$10="Avalanche",INDEX(Calc!IZ$75:IZ$89,Calc!$F$7),INDEX(Calc!IZ$50:IZ$64,Calc!$D$7))))</f>
        <v/>
      </c>
      <c r="K92" s="20">
        <f>IF(L92="","",N(L91)*(1+Start!$E$16/12)-L92)</f>
        <v/>
      </c>
      <c r="L92" s="20">
        <f>IF(OR(OR(Calc!$B$4=0,$B92&gt;IF(Start!$D$10="Avalanche",Calc!$B$3,Calc!$B$2)),Calc!$B$8=0),"",IF(N(L91)&lt;=0.005,"",IF(Start!$D$10="Avalanche",INDEX(Calc!IZ$75:IZ$89,Calc!$F$8),INDEX(Calc!IZ$50:IZ$64,Calc!$D$8))))</f>
        <v/>
      </c>
      <c r="M92" s="20">
        <f>IF(N92="","",N(N91)*(1+Start!$E$17/12)-N92)</f>
        <v/>
      </c>
      <c r="N92" s="20">
        <f>IF(OR(OR(Calc!$B$4=0,$B92&gt;IF(Start!$D$10="Avalanche",Calc!$B$3,Calc!$B$2)),Calc!$B$9=0),"",IF(N(N91)&lt;=0.005,"",IF(Start!$D$10="Avalanche",INDEX(Calc!IZ$75:IZ$89,Calc!$F$9),INDEX(Calc!IZ$50:IZ$64,Calc!$D$9))))</f>
        <v/>
      </c>
      <c r="O92" s="20">
        <f>IF(P92="","",N(P91)*(1+Start!$E$18/12)-P92)</f>
        <v/>
      </c>
      <c r="P92" s="20">
        <f>IF(OR(OR(Calc!$B$4=0,$B92&gt;IF(Start!$D$10="Avalanche",Calc!$B$3,Calc!$B$2)),Calc!$B$10=0),"",IF(N(P91)&lt;=0.005,"",IF(Start!$D$10="Avalanche",INDEX(Calc!IZ$75:IZ$89,Calc!$F$10),INDEX(Calc!IZ$50:IZ$64,Calc!$D$10))))</f>
        <v/>
      </c>
      <c r="Q92" s="20">
        <f>IF(R92="","",N(R91)*(1+Start!$E$19/12)-R92)</f>
        <v/>
      </c>
      <c r="R92" s="20">
        <f>IF(OR(OR(Calc!$B$4=0,$B92&gt;IF(Start!$D$10="Avalanche",Calc!$B$3,Calc!$B$2)),Calc!$B$11=0),"",IF(N(R91)&lt;=0.005,"",IF(Start!$D$10="Avalanche",INDEX(Calc!IZ$75:IZ$89,Calc!$F$11),INDEX(Calc!IZ$50:IZ$64,Calc!$D$11))))</f>
        <v/>
      </c>
      <c r="S92" s="20">
        <f>IF(T92="","",N(T91)*(1+Start!$E$20/12)-T92)</f>
        <v/>
      </c>
      <c r="T92" s="20">
        <f>IF(OR(OR(Calc!$B$4=0,$B92&gt;IF(Start!$D$10="Avalanche",Calc!$B$3,Calc!$B$2)),Calc!$B$12=0),"",IF(N(T91)&lt;=0.005,"",IF(Start!$D$10="Avalanche",INDEX(Calc!IZ$75:IZ$89,Calc!$F$12),INDEX(Calc!IZ$50:IZ$64,Calc!$D$12))))</f>
        <v/>
      </c>
      <c r="U92" s="20">
        <f>IF(V92="","",N(V91)*(1+Start!$E$21/12)-V92)</f>
        <v/>
      </c>
      <c r="V92" s="20">
        <f>IF(OR(OR(Calc!$B$4=0,$B92&gt;IF(Start!$D$10="Avalanche",Calc!$B$3,Calc!$B$2)),Calc!$B$13=0),"",IF(N(V91)&lt;=0.005,"",IF(Start!$D$10="Avalanche",INDEX(Calc!IZ$75:IZ$89,Calc!$F$13),INDEX(Calc!IZ$50:IZ$64,Calc!$D$13))))</f>
        <v/>
      </c>
      <c r="W92" s="20">
        <f>IF(X92="","",N(X91)*(1+Start!$E$22/12)-X92)</f>
        <v/>
      </c>
      <c r="X92" s="20">
        <f>IF(OR(OR(Calc!$B$4=0,$B92&gt;IF(Start!$D$10="Avalanche",Calc!$B$3,Calc!$B$2)),Calc!$B$14=0),"",IF(N(X91)&lt;=0.005,"",IF(Start!$D$10="Avalanche",INDEX(Calc!IZ$75:IZ$89,Calc!$F$14),INDEX(Calc!IZ$50:IZ$64,Calc!$D$14))))</f>
        <v/>
      </c>
      <c r="Y92" s="20">
        <f>IF(Z92="","",N(Z91)*(1+Start!$E$23/12)-Z92)</f>
        <v/>
      </c>
      <c r="Z92" s="20">
        <f>IF(OR(OR(Calc!$B$4=0,$B92&gt;IF(Start!$D$10="Avalanche",Calc!$B$3,Calc!$B$2)),Calc!$B$15=0),"",IF(N(Z91)&lt;=0.005,"",IF(Start!$D$10="Avalanche",INDEX(Calc!IZ$75:IZ$89,Calc!$F$15),INDEX(Calc!IZ$50:IZ$64,Calc!$D$15))))</f>
        <v/>
      </c>
      <c r="AA92" s="20">
        <f>IF(AB92="","",N(AB91)*(1+Start!$E$24/12)-AB92)</f>
        <v/>
      </c>
      <c r="AB92" s="20">
        <f>IF(OR(OR(Calc!$B$4=0,$B92&gt;IF(Start!$D$10="Avalanche",Calc!$B$3,Calc!$B$2)),Calc!$B$16=0),"",IF(N(AB91)&lt;=0.005,"",IF(Start!$D$10="Avalanche",INDEX(Calc!IZ$75:IZ$89,Calc!$F$16),INDEX(Calc!IZ$50:IZ$64,Calc!$D$16))))</f>
        <v/>
      </c>
      <c r="AC92" s="20">
        <f>IF(AD92="","",N(AD91)*(1+Start!$E$25/12)-AD92)</f>
        <v/>
      </c>
      <c r="AD92" s="20">
        <f>IF(OR(OR(Calc!$B$4=0,$B92&gt;IF(Start!$D$10="Avalanche",Calc!$B$3,Calc!$B$2)),Calc!$B$17=0),"",IF(N(AD91)&lt;=0.005,"",IF(Start!$D$10="Avalanche",INDEX(Calc!IZ$75:IZ$89,Calc!$F$17),INDEX(Calc!IZ$50:IZ$64,Calc!$D$17))))</f>
        <v/>
      </c>
      <c r="AE92" s="20">
        <f>IF(AF92="","",N(AF91)*(1+Start!$E$26/12)-AF92)</f>
        <v/>
      </c>
      <c r="AF92" s="20">
        <f>IF(OR(OR(Calc!$B$4=0,$B92&gt;IF(Start!$D$10="Avalanche",Calc!$B$3,Calc!$B$2)),Calc!$B$18=0),"",IF(N(AF91)&lt;=0.005,"",IF(Start!$D$10="Avalanche",INDEX(Calc!IZ$75:IZ$89,Calc!$F$18),INDEX(Calc!IZ$50:IZ$64,Calc!$D$18))))</f>
        <v/>
      </c>
      <c r="AG92" s="20">
        <f>IF(AH92="","",N(AH91)*(1+Start!$E$27/12)-AH92)</f>
        <v/>
      </c>
      <c r="AH92" s="20">
        <f>IF(OR(OR(Calc!$B$4=0,$B92&gt;IF(Start!$D$10="Avalanche",Calc!$B$3,Calc!$B$2)),Calc!$B$19=0),"",IF(N(AH91)&lt;=0.005,"",IF(Start!$D$10="Avalanche",INDEX(Calc!IZ$75:IZ$89,Calc!$F$19),INDEX(Calc!IZ$50:IZ$64,Calc!$D$19))))</f>
        <v/>
      </c>
      <c r="AI92" s="20">
        <f>IF(AJ92="","",N(AJ91)*(1+Start!$E$28/12)-AJ92)</f>
        <v/>
      </c>
      <c r="AJ92" s="20">
        <f>IF(OR(OR(Calc!$B$4=0,$B92&gt;IF(Start!$D$10="Avalanche",Calc!$B$3,Calc!$B$2)),Calc!$B$20=0),"",IF(N(AJ91)&lt;=0.005,"",IF(Start!$D$10="Avalanche",INDEX(Calc!IZ$75:IZ$89,Calc!$F$20),INDEX(Calc!IZ$50:IZ$64,Calc!$D$20))))</f>
        <v/>
      </c>
    </row>
    <row r="93">
      <c r="B93" s="17" t="n">
        <v>87</v>
      </c>
      <c r="C93" s="19">
        <f>IF(Calc!$B$4=0,"",EDATE(Start!$D$11,86))</f>
        <v/>
      </c>
      <c r="D93" s="20">
        <f>IF(OR(Calc!$B$4=0,$B93&gt;IF(Start!$D$10="Avalanche",Calc!$B$3,Calc!$B$2)),"",SUM(G93,I93,K93,M93,O93,Q93,S93,U93,W93,Y93,AA93,AC93,AE93,AG93,AI93))</f>
        <v/>
      </c>
      <c r="E93" s="20">
        <f>IF(OR(Calc!$B$4=0,$B93&gt;IF(Start!$D$10="Avalanche",Calc!$B$3,Calc!$B$2)),"",IF(Start!$D$10="Avalanche",Calc!JA$72,Calc!JA$47))</f>
        <v/>
      </c>
      <c r="F93" s="21">
        <f>IF(Calc!$B$4=0,"",IF($B93&gt;IF(Start!$D$10="Avalanche",Calc!$B$3,Calc!$B$2),NA(),SUM(H93,J93,L93,N93,P93,R93,T93,V93,X93,Z93,AB93,AD93,AF93,AH93,AJ93)))</f>
        <v/>
      </c>
      <c r="G93" s="20">
        <f>IF(H93="","",N(H92)*(1+Start!$E$14/12)-H93)</f>
        <v/>
      </c>
      <c r="H93" s="20">
        <f>IF(OR(OR(Calc!$B$4=0,$B93&gt;IF(Start!$D$10="Avalanche",Calc!$B$3,Calc!$B$2)),Calc!$B$6=0),"",IF(N(H92)&lt;=0.005,"",IF(Start!$D$10="Avalanche",INDEX(Calc!JC$75:JC$89,Calc!$F$6),INDEX(Calc!JC$50:JC$64,Calc!$D$6))))</f>
        <v/>
      </c>
      <c r="I93" s="20">
        <f>IF(J93="","",N(J92)*(1+Start!$E$15/12)-J93)</f>
        <v/>
      </c>
      <c r="J93" s="20">
        <f>IF(OR(OR(Calc!$B$4=0,$B93&gt;IF(Start!$D$10="Avalanche",Calc!$B$3,Calc!$B$2)),Calc!$B$7=0),"",IF(N(J92)&lt;=0.005,"",IF(Start!$D$10="Avalanche",INDEX(Calc!JC$75:JC$89,Calc!$F$7),INDEX(Calc!JC$50:JC$64,Calc!$D$7))))</f>
        <v/>
      </c>
      <c r="K93" s="20">
        <f>IF(L93="","",N(L92)*(1+Start!$E$16/12)-L93)</f>
        <v/>
      </c>
      <c r="L93" s="20">
        <f>IF(OR(OR(Calc!$B$4=0,$B93&gt;IF(Start!$D$10="Avalanche",Calc!$B$3,Calc!$B$2)),Calc!$B$8=0),"",IF(N(L92)&lt;=0.005,"",IF(Start!$D$10="Avalanche",INDEX(Calc!JC$75:JC$89,Calc!$F$8),INDEX(Calc!JC$50:JC$64,Calc!$D$8))))</f>
        <v/>
      </c>
      <c r="M93" s="20">
        <f>IF(N93="","",N(N92)*(1+Start!$E$17/12)-N93)</f>
        <v/>
      </c>
      <c r="N93" s="20">
        <f>IF(OR(OR(Calc!$B$4=0,$B93&gt;IF(Start!$D$10="Avalanche",Calc!$B$3,Calc!$B$2)),Calc!$B$9=0),"",IF(N(N92)&lt;=0.005,"",IF(Start!$D$10="Avalanche",INDEX(Calc!JC$75:JC$89,Calc!$F$9),INDEX(Calc!JC$50:JC$64,Calc!$D$9))))</f>
        <v/>
      </c>
      <c r="O93" s="20">
        <f>IF(P93="","",N(P92)*(1+Start!$E$18/12)-P93)</f>
        <v/>
      </c>
      <c r="P93" s="20">
        <f>IF(OR(OR(Calc!$B$4=0,$B93&gt;IF(Start!$D$10="Avalanche",Calc!$B$3,Calc!$B$2)),Calc!$B$10=0),"",IF(N(P92)&lt;=0.005,"",IF(Start!$D$10="Avalanche",INDEX(Calc!JC$75:JC$89,Calc!$F$10),INDEX(Calc!JC$50:JC$64,Calc!$D$10))))</f>
        <v/>
      </c>
      <c r="Q93" s="20">
        <f>IF(R93="","",N(R92)*(1+Start!$E$19/12)-R93)</f>
        <v/>
      </c>
      <c r="R93" s="20">
        <f>IF(OR(OR(Calc!$B$4=0,$B93&gt;IF(Start!$D$10="Avalanche",Calc!$B$3,Calc!$B$2)),Calc!$B$11=0),"",IF(N(R92)&lt;=0.005,"",IF(Start!$D$10="Avalanche",INDEX(Calc!JC$75:JC$89,Calc!$F$11),INDEX(Calc!JC$50:JC$64,Calc!$D$11))))</f>
        <v/>
      </c>
      <c r="S93" s="20">
        <f>IF(T93="","",N(T92)*(1+Start!$E$20/12)-T93)</f>
        <v/>
      </c>
      <c r="T93" s="20">
        <f>IF(OR(OR(Calc!$B$4=0,$B93&gt;IF(Start!$D$10="Avalanche",Calc!$B$3,Calc!$B$2)),Calc!$B$12=0),"",IF(N(T92)&lt;=0.005,"",IF(Start!$D$10="Avalanche",INDEX(Calc!JC$75:JC$89,Calc!$F$12),INDEX(Calc!JC$50:JC$64,Calc!$D$12))))</f>
        <v/>
      </c>
      <c r="U93" s="20">
        <f>IF(V93="","",N(V92)*(1+Start!$E$21/12)-V93)</f>
        <v/>
      </c>
      <c r="V93" s="20">
        <f>IF(OR(OR(Calc!$B$4=0,$B93&gt;IF(Start!$D$10="Avalanche",Calc!$B$3,Calc!$B$2)),Calc!$B$13=0),"",IF(N(V92)&lt;=0.005,"",IF(Start!$D$10="Avalanche",INDEX(Calc!JC$75:JC$89,Calc!$F$13),INDEX(Calc!JC$50:JC$64,Calc!$D$13))))</f>
        <v/>
      </c>
      <c r="W93" s="20">
        <f>IF(X93="","",N(X92)*(1+Start!$E$22/12)-X93)</f>
        <v/>
      </c>
      <c r="X93" s="20">
        <f>IF(OR(OR(Calc!$B$4=0,$B93&gt;IF(Start!$D$10="Avalanche",Calc!$B$3,Calc!$B$2)),Calc!$B$14=0),"",IF(N(X92)&lt;=0.005,"",IF(Start!$D$10="Avalanche",INDEX(Calc!JC$75:JC$89,Calc!$F$14),INDEX(Calc!JC$50:JC$64,Calc!$D$14))))</f>
        <v/>
      </c>
      <c r="Y93" s="20">
        <f>IF(Z93="","",N(Z92)*(1+Start!$E$23/12)-Z93)</f>
        <v/>
      </c>
      <c r="Z93" s="20">
        <f>IF(OR(OR(Calc!$B$4=0,$B93&gt;IF(Start!$D$10="Avalanche",Calc!$B$3,Calc!$B$2)),Calc!$B$15=0),"",IF(N(Z92)&lt;=0.005,"",IF(Start!$D$10="Avalanche",INDEX(Calc!JC$75:JC$89,Calc!$F$15),INDEX(Calc!JC$50:JC$64,Calc!$D$15))))</f>
        <v/>
      </c>
      <c r="AA93" s="20">
        <f>IF(AB93="","",N(AB92)*(1+Start!$E$24/12)-AB93)</f>
        <v/>
      </c>
      <c r="AB93" s="20">
        <f>IF(OR(OR(Calc!$B$4=0,$B93&gt;IF(Start!$D$10="Avalanche",Calc!$B$3,Calc!$B$2)),Calc!$B$16=0),"",IF(N(AB92)&lt;=0.005,"",IF(Start!$D$10="Avalanche",INDEX(Calc!JC$75:JC$89,Calc!$F$16),INDEX(Calc!JC$50:JC$64,Calc!$D$16))))</f>
        <v/>
      </c>
      <c r="AC93" s="20">
        <f>IF(AD93="","",N(AD92)*(1+Start!$E$25/12)-AD93)</f>
        <v/>
      </c>
      <c r="AD93" s="20">
        <f>IF(OR(OR(Calc!$B$4=0,$B93&gt;IF(Start!$D$10="Avalanche",Calc!$B$3,Calc!$B$2)),Calc!$B$17=0),"",IF(N(AD92)&lt;=0.005,"",IF(Start!$D$10="Avalanche",INDEX(Calc!JC$75:JC$89,Calc!$F$17),INDEX(Calc!JC$50:JC$64,Calc!$D$17))))</f>
        <v/>
      </c>
      <c r="AE93" s="20">
        <f>IF(AF93="","",N(AF92)*(1+Start!$E$26/12)-AF93)</f>
        <v/>
      </c>
      <c r="AF93" s="20">
        <f>IF(OR(OR(Calc!$B$4=0,$B93&gt;IF(Start!$D$10="Avalanche",Calc!$B$3,Calc!$B$2)),Calc!$B$18=0),"",IF(N(AF92)&lt;=0.005,"",IF(Start!$D$10="Avalanche",INDEX(Calc!JC$75:JC$89,Calc!$F$18),INDEX(Calc!JC$50:JC$64,Calc!$D$18))))</f>
        <v/>
      </c>
      <c r="AG93" s="20">
        <f>IF(AH93="","",N(AH92)*(1+Start!$E$27/12)-AH93)</f>
        <v/>
      </c>
      <c r="AH93" s="20">
        <f>IF(OR(OR(Calc!$B$4=0,$B93&gt;IF(Start!$D$10="Avalanche",Calc!$B$3,Calc!$B$2)),Calc!$B$19=0),"",IF(N(AH92)&lt;=0.005,"",IF(Start!$D$10="Avalanche",INDEX(Calc!JC$75:JC$89,Calc!$F$19),INDEX(Calc!JC$50:JC$64,Calc!$D$19))))</f>
        <v/>
      </c>
      <c r="AI93" s="20">
        <f>IF(AJ93="","",N(AJ92)*(1+Start!$E$28/12)-AJ93)</f>
        <v/>
      </c>
      <c r="AJ93" s="20">
        <f>IF(OR(OR(Calc!$B$4=0,$B93&gt;IF(Start!$D$10="Avalanche",Calc!$B$3,Calc!$B$2)),Calc!$B$20=0),"",IF(N(AJ92)&lt;=0.005,"",IF(Start!$D$10="Avalanche",INDEX(Calc!JC$75:JC$89,Calc!$F$20),INDEX(Calc!JC$50:JC$64,Calc!$D$20))))</f>
        <v/>
      </c>
    </row>
    <row r="94">
      <c r="B94" s="17" t="n">
        <v>88</v>
      </c>
      <c r="C94" s="19">
        <f>IF(Calc!$B$4=0,"",EDATE(Start!$D$11,87))</f>
        <v/>
      </c>
      <c r="D94" s="20">
        <f>IF(OR(Calc!$B$4=0,$B94&gt;IF(Start!$D$10="Avalanche",Calc!$B$3,Calc!$B$2)),"",SUM(G94,I94,K94,M94,O94,Q94,S94,U94,W94,Y94,AA94,AC94,AE94,AG94,AI94))</f>
        <v/>
      </c>
      <c r="E94" s="20">
        <f>IF(OR(Calc!$B$4=0,$B94&gt;IF(Start!$D$10="Avalanche",Calc!$B$3,Calc!$B$2)),"",IF(Start!$D$10="Avalanche",Calc!JD$72,Calc!JD$47))</f>
        <v/>
      </c>
      <c r="F94" s="21">
        <f>IF(Calc!$B$4=0,"",IF($B94&gt;IF(Start!$D$10="Avalanche",Calc!$B$3,Calc!$B$2),NA(),SUM(H94,J94,L94,N94,P94,R94,T94,V94,X94,Z94,AB94,AD94,AF94,AH94,AJ94)))</f>
        <v/>
      </c>
      <c r="G94" s="20">
        <f>IF(H94="","",N(H93)*(1+Start!$E$14/12)-H94)</f>
        <v/>
      </c>
      <c r="H94" s="20">
        <f>IF(OR(OR(Calc!$B$4=0,$B94&gt;IF(Start!$D$10="Avalanche",Calc!$B$3,Calc!$B$2)),Calc!$B$6=0),"",IF(N(H93)&lt;=0.005,"",IF(Start!$D$10="Avalanche",INDEX(Calc!JF$75:JF$89,Calc!$F$6),INDEX(Calc!JF$50:JF$64,Calc!$D$6))))</f>
        <v/>
      </c>
      <c r="I94" s="20">
        <f>IF(J94="","",N(J93)*(1+Start!$E$15/12)-J94)</f>
        <v/>
      </c>
      <c r="J94" s="20">
        <f>IF(OR(OR(Calc!$B$4=0,$B94&gt;IF(Start!$D$10="Avalanche",Calc!$B$3,Calc!$B$2)),Calc!$B$7=0),"",IF(N(J93)&lt;=0.005,"",IF(Start!$D$10="Avalanche",INDEX(Calc!JF$75:JF$89,Calc!$F$7),INDEX(Calc!JF$50:JF$64,Calc!$D$7))))</f>
        <v/>
      </c>
      <c r="K94" s="20">
        <f>IF(L94="","",N(L93)*(1+Start!$E$16/12)-L94)</f>
        <v/>
      </c>
      <c r="L94" s="20">
        <f>IF(OR(OR(Calc!$B$4=0,$B94&gt;IF(Start!$D$10="Avalanche",Calc!$B$3,Calc!$B$2)),Calc!$B$8=0),"",IF(N(L93)&lt;=0.005,"",IF(Start!$D$10="Avalanche",INDEX(Calc!JF$75:JF$89,Calc!$F$8),INDEX(Calc!JF$50:JF$64,Calc!$D$8))))</f>
        <v/>
      </c>
      <c r="M94" s="20">
        <f>IF(N94="","",N(N93)*(1+Start!$E$17/12)-N94)</f>
        <v/>
      </c>
      <c r="N94" s="20">
        <f>IF(OR(OR(Calc!$B$4=0,$B94&gt;IF(Start!$D$10="Avalanche",Calc!$B$3,Calc!$B$2)),Calc!$B$9=0),"",IF(N(N93)&lt;=0.005,"",IF(Start!$D$10="Avalanche",INDEX(Calc!JF$75:JF$89,Calc!$F$9),INDEX(Calc!JF$50:JF$64,Calc!$D$9))))</f>
        <v/>
      </c>
      <c r="O94" s="20">
        <f>IF(P94="","",N(P93)*(1+Start!$E$18/12)-P94)</f>
        <v/>
      </c>
      <c r="P94" s="20">
        <f>IF(OR(OR(Calc!$B$4=0,$B94&gt;IF(Start!$D$10="Avalanche",Calc!$B$3,Calc!$B$2)),Calc!$B$10=0),"",IF(N(P93)&lt;=0.005,"",IF(Start!$D$10="Avalanche",INDEX(Calc!JF$75:JF$89,Calc!$F$10),INDEX(Calc!JF$50:JF$64,Calc!$D$10))))</f>
        <v/>
      </c>
      <c r="Q94" s="20">
        <f>IF(R94="","",N(R93)*(1+Start!$E$19/12)-R94)</f>
        <v/>
      </c>
      <c r="R94" s="20">
        <f>IF(OR(OR(Calc!$B$4=0,$B94&gt;IF(Start!$D$10="Avalanche",Calc!$B$3,Calc!$B$2)),Calc!$B$11=0),"",IF(N(R93)&lt;=0.005,"",IF(Start!$D$10="Avalanche",INDEX(Calc!JF$75:JF$89,Calc!$F$11),INDEX(Calc!JF$50:JF$64,Calc!$D$11))))</f>
        <v/>
      </c>
      <c r="S94" s="20">
        <f>IF(T94="","",N(T93)*(1+Start!$E$20/12)-T94)</f>
        <v/>
      </c>
      <c r="T94" s="20">
        <f>IF(OR(OR(Calc!$B$4=0,$B94&gt;IF(Start!$D$10="Avalanche",Calc!$B$3,Calc!$B$2)),Calc!$B$12=0),"",IF(N(T93)&lt;=0.005,"",IF(Start!$D$10="Avalanche",INDEX(Calc!JF$75:JF$89,Calc!$F$12),INDEX(Calc!JF$50:JF$64,Calc!$D$12))))</f>
        <v/>
      </c>
      <c r="U94" s="20">
        <f>IF(V94="","",N(V93)*(1+Start!$E$21/12)-V94)</f>
        <v/>
      </c>
      <c r="V94" s="20">
        <f>IF(OR(OR(Calc!$B$4=0,$B94&gt;IF(Start!$D$10="Avalanche",Calc!$B$3,Calc!$B$2)),Calc!$B$13=0),"",IF(N(V93)&lt;=0.005,"",IF(Start!$D$10="Avalanche",INDEX(Calc!JF$75:JF$89,Calc!$F$13),INDEX(Calc!JF$50:JF$64,Calc!$D$13))))</f>
        <v/>
      </c>
      <c r="W94" s="20">
        <f>IF(X94="","",N(X93)*(1+Start!$E$22/12)-X94)</f>
        <v/>
      </c>
      <c r="X94" s="20">
        <f>IF(OR(OR(Calc!$B$4=0,$B94&gt;IF(Start!$D$10="Avalanche",Calc!$B$3,Calc!$B$2)),Calc!$B$14=0),"",IF(N(X93)&lt;=0.005,"",IF(Start!$D$10="Avalanche",INDEX(Calc!JF$75:JF$89,Calc!$F$14),INDEX(Calc!JF$50:JF$64,Calc!$D$14))))</f>
        <v/>
      </c>
      <c r="Y94" s="20">
        <f>IF(Z94="","",N(Z93)*(1+Start!$E$23/12)-Z94)</f>
        <v/>
      </c>
      <c r="Z94" s="20">
        <f>IF(OR(OR(Calc!$B$4=0,$B94&gt;IF(Start!$D$10="Avalanche",Calc!$B$3,Calc!$B$2)),Calc!$B$15=0),"",IF(N(Z93)&lt;=0.005,"",IF(Start!$D$10="Avalanche",INDEX(Calc!JF$75:JF$89,Calc!$F$15),INDEX(Calc!JF$50:JF$64,Calc!$D$15))))</f>
        <v/>
      </c>
      <c r="AA94" s="20">
        <f>IF(AB94="","",N(AB93)*(1+Start!$E$24/12)-AB94)</f>
        <v/>
      </c>
      <c r="AB94" s="20">
        <f>IF(OR(OR(Calc!$B$4=0,$B94&gt;IF(Start!$D$10="Avalanche",Calc!$B$3,Calc!$B$2)),Calc!$B$16=0),"",IF(N(AB93)&lt;=0.005,"",IF(Start!$D$10="Avalanche",INDEX(Calc!JF$75:JF$89,Calc!$F$16),INDEX(Calc!JF$50:JF$64,Calc!$D$16))))</f>
        <v/>
      </c>
      <c r="AC94" s="20">
        <f>IF(AD94="","",N(AD93)*(1+Start!$E$25/12)-AD94)</f>
        <v/>
      </c>
      <c r="AD94" s="20">
        <f>IF(OR(OR(Calc!$B$4=0,$B94&gt;IF(Start!$D$10="Avalanche",Calc!$B$3,Calc!$B$2)),Calc!$B$17=0),"",IF(N(AD93)&lt;=0.005,"",IF(Start!$D$10="Avalanche",INDEX(Calc!JF$75:JF$89,Calc!$F$17),INDEX(Calc!JF$50:JF$64,Calc!$D$17))))</f>
        <v/>
      </c>
      <c r="AE94" s="20">
        <f>IF(AF94="","",N(AF93)*(1+Start!$E$26/12)-AF94)</f>
        <v/>
      </c>
      <c r="AF94" s="20">
        <f>IF(OR(OR(Calc!$B$4=0,$B94&gt;IF(Start!$D$10="Avalanche",Calc!$B$3,Calc!$B$2)),Calc!$B$18=0),"",IF(N(AF93)&lt;=0.005,"",IF(Start!$D$10="Avalanche",INDEX(Calc!JF$75:JF$89,Calc!$F$18),INDEX(Calc!JF$50:JF$64,Calc!$D$18))))</f>
        <v/>
      </c>
      <c r="AG94" s="20">
        <f>IF(AH94="","",N(AH93)*(1+Start!$E$27/12)-AH94)</f>
        <v/>
      </c>
      <c r="AH94" s="20">
        <f>IF(OR(OR(Calc!$B$4=0,$B94&gt;IF(Start!$D$10="Avalanche",Calc!$B$3,Calc!$B$2)),Calc!$B$19=0),"",IF(N(AH93)&lt;=0.005,"",IF(Start!$D$10="Avalanche",INDEX(Calc!JF$75:JF$89,Calc!$F$19),INDEX(Calc!JF$50:JF$64,Calc!$D$19))))</f>
        <v/>
      </c>
      <c r="AI94" s="20">
        <f>IF(AJ94="","",N(AJ93)*(1+Start!$E$28/12)-AJ94)</f>
        <v/>
      </c>
      <c r="AJ94" s="20">
        <f>IF(OR(OR(Calc!$B$4=0,$B94&gt;IF(Start!$D$10="Avalanche",Calc!$B$3,Calc!$B$2)),Calc!$B$20=0),"",IF(N(AJ93)&lt;=0.005,"",IF(Start!$D$10="Avalanche",INDEX(Calc!JF$75:JF$89,Calc!$F$20),INDEX(Calc!JF$50:JF$64,Calc!$D$20))))</f>
        <v/>
      </c>
    </row>
    <row r="95">
      <c r="B95" s="17" t="n">
        <v>89</v>
      </c>
      <c r="C95" s="19">
        <f>IF(Calc!$B$4=0,"",EDATE(Start!$D$11,88))</f>
        <v/>
      </c>
      <c r="D95" s="20">
        <f>IF(OR(Calc!$B$4=0,$B95&gt;IF(Start!$D$10="Avalanche",Calc!$B$3,Calc!$B$2)),"",SUM(G95,I95,K95,M95,O95,Q95,S95,U95,W95,Y95,AA95,AC95,AE95,AG95,AI95))</f>
        <v/>
      </c>
      <c r="E95" s="20">
        <f>IF(OR(Calc!$B$4=0,$B95&gt;IF(Start!$D$10="Avalanche",Calc!$B$3,Calc!$B$2)),"",IF(Start!$D$10="Avalanche",Calc!JG$72,Calc!JG$47))</f>
        <v/>
      </c>
      <c r="F95" s="21">
        <f>IF(Calc!$B$4=0,"",IF($B95&gt;IF(Start!$D$10="Avalanche",Calc!$B$3,Calc!$B$2),NA(),SUM(H95,J95,L95,N95,P95,R95,T95,V95,X95,Z95,AB95,AD95,AF95,AH95,AJ95)))</f>
        <v/>
      </c>
      <c r="G95" s="20">
        <f>IF(H95="","",N(H94)*(1+Start!$E$14/12)-H95)</f>
        <v/>
      </c>
      <c r="H95" s="20">
        <f>IF(OR(OR(Calc!$B$4=0,$B95&gt;IF(Start!$D$10="Avalanche",Calc!$B$3,Calc!$B$2)),Calc!$B$6=0),"",IF(N(H94)&lt;=0.005,"",IF(Start!$D$10="Avalanche",INDEX(Calc!JI$75:JI$89,Calc!$F$6),INDEX(Calc!JI$50:JI$64,Calc!$D$6))))</f>
        <v/>
      </c>
      <c r="I95" s="20">
        <f>IF(J95="","",N(J94)*(1+Start!$E$15/12)-J95)</f>
        <v/>
      </c>
      <c r="J95" s="20">
        <f>IF(OR(OR(Calc!$B$4=0,$B95&gt;IF(Start!$D$10="Avalanche",Calc!$B$3,Calc!$B$2)),Calc!$B$7=0),"",IF(N(J94)&lt;=0.005,"",IF(Start!$D$10="Avalanche",INDEX(Calc!JI$75:JI$89,Calc!$F$7),INDEX(Calc!JI$50:JI$64,Calc!$D$7))))</f>
        <v/>
      </c>
      <c r="K95" s="20">
        <f>IF(L95="","",N(L94)*(1+Start!$E$16/12)-L95)</f>
        <v/>
      </c>
      <c r="L95" s="20">
        <f>IF(OR(OR(Calc!$B$4=0,$B95&gt;IF(Start!$D$10="Avalanche",Calc!$B$3,Calc!$B$2)),Calc!$B$8=0),"",IF(N(L94)&lt;=0.005,"",IF(Start!$D$10="Avalanche",INDEX(Calc!JI$75:JI$89,Calc!$F$8),INDEX(Calc!JI$50:JI$64,Calc!$D$8))))</f>
        <v/>
      </c>
      <c r="M95" s="20">
        <f>IF(N95="","",N(N94)*(1+Start!$E$17/12)-N95)</f>
        <v/>
      </c>
      <c r="N95" s="20">
        <f>IF(OR(OR(Calc!$B$4=0,$B95&gt;IF(Start!$D$10="Avalanche",Calc!$B$3,Calc!$B$2)),Calc!$B$9=0),"",IF(N(N94)&lt;=0.005,"",IF(Start!$D$10="Avalanche",INDEX(Calc!JI$75:JI$89,Calc!$F$9),INDEX(Calc!JI$50:JI$64,Calc!$D$9))))</f>
        <v/>
      </c>
      <c r="O95" s="20">
        <f>IF(P95="","",N(P94)*(1+Start!$E$18/12)-P95)</f>
        <v/>
      </c>
      <c r="P95" s="20">
        <f>IF(OR(OR(Calc!$B$4=0,$B95&gt;IF(Start!$D$10="Avalanche",Calc!$B$3,Calc!$B$2)),Calc!$B$10=0),"",IF(N(P94)&lt;=0.005,"",IF(Start!$D$10="Avalanche",INDEX(Calc!JI$75:JI$89,Calc!$F$10),INDEX(Calc!JI$50:JI$64,Calc!$D$10))))</f>
        <v/>
      </c>
      <c r="Q95" s="20">
        <f>IF(R95="","",N(R94)*(1+Start!$E$19/12)-R95)</f>
        <v/>
      </c>
      <c r="R95" s="20">
        <f>IF(OR(OR(Calc!$B$4=0,$B95&gt;IF(Start!$D$10="Avalanche",Calc!$B$3,Calc!$B$2)),Calc!$B$11=0),"",IF(N(R94)&lt;=0.005,"",IF(Start!$D$10="Avalanche",INDEX(Calc!JI$75:JI$89,Calc!$F$11),INDEX(Calc!JI$50:JI$64,Calc!$D$11))))</f>
        <v/>
      </c>
      <c r="S95" s="20">
        <f>IF(T95="","",N(T94)*(1+Start!$E$20/12)-T95)</f>
        <v/>
      </c>
      <c r="T95" s="20">
        <f>IF(OR(OR(Calc!$B$4=0,$B95&gt;IF(Start!$D$10="Avalanche",Calc!$B$3,Calc!$B$2)),Calc!$B$12=0),"",IF(N(T94)&lt;=0.005,"",IF(Start!$D$10="Avalanche",INDEX(Calc!JI$75:JI$89,Calc!$F$12),INDEX(Calc!JI$50:JI$64,Calc!$D$12))))</f>
        <v/>
      </c>
      <c r="U95" s="20">
        <f>IF(V95="","",N(V94)*(1+Start!$E$21/12)-V95)</f>
        <v/>
      </c>
      <c r="V95" s="20">
        <f>IF(OR(OR(Calc!$B$4=0,$B95&gt;IF(Start!$D$10="Avalanche",Calc!$B$3,Calc!$B$2)),Calc!$B$13=0),"",IF(N(V94)&lt;=0.005,"",IF(Start!$D$10="Avalanche",INDEX(Calc!JI$75:JI$89,Calc!$F$13),INDEX(Calc!JI$50:JI$64,Calc!$D$13))))</f>
        <v/>
      </c>
      <c r="W95" s="20">
        <f>IF(X95="","",N(X94)*(1+Start!$E$22/12)-X95)</f>
        <v/>
      </c>
      <c r="X95" s="20">
        <f>IF(OR(OR(Calc!$B$4=0,$B95&gt;IF(Start!$D$10="Avalanche",Calc!$B$3,Calc!$B$2)),Calc!$B$14=0),"",IF(N(X94)&lt;=0.005,"",IF(Start!$D$10="Avalanche",INDEX(Calc!JI$75:JI$89,Calc!$F$14),INDEX(Calc!JI$50:JI$64,Calc!$D$14))))</f>
        <v/>
      </c>
      <c r="Y95" s="20">
        <f>IF(Z95="","",N(Z94)*(1+Start!$E$23/12)-Z95)</f>
        <v/>
      </c>
      <c r="Z95" s="20">
        <f>IF(OR(OR(Calc!$B$4=0,$B95&gt;IF(Start!$D$10="Avalanche",Calc!$B$3,Calc!$B$2)),Calc!$B$15=0),"",IF(N(Z94)&lt;=0.005,"",IF(Start!$D$10="Avalanche",INDEX(Calc!JI$75:JI$89,Calc!$F$15),INDEX(Calc!JI$50:JI$64,Calc!$D$15))))</f>
        <v/>
      </c>
      <c r="AA95" s="20">
        <f>IF(AB95="","",N(AB94)*(1+Start!$E$24/12)-AB95)</f>
        <v/>
      </c>
      <c r="AB95" s="20">
        <f>IF(OR(OR(Calc!$B$4=0,$B95&gt;IF(Start!$D$10="Avalanche",Calc!$B$3,Calc!$B$2)),Calc!$B$16=0),"",IF(N(AB94)&lt;=0.005,"",IF(Start!$D$10="Avalanche",INDEX(Calc!JI$75:JI$89,Calc!$F$16),INDEX(Calc!JI$50:JI$64,Calc!$D$16))))</f>
        <v/>
      </c>
      <c r="AC95" s="20">
        <f>IF(AD95="","",N(AD94)*(1+Start!$E$25/12)-AD95)</f>
        <v/>
      </c>
      <c r="AD95" s="20">
        <f>IF(OR(OR(Calc!$B$4=0,$B95&gt;IF(Start!$D$10="Avalanche",Calc!$B$3,Calc!$B$2)),Calc!$B$17=0),"",IF(N(AD94)&lt;=0.005,"",IF(Start!$D$10="Avalanche",INDEX(Calc!JI$75:JI$89,Calc!$F$17),INDEX(Calc!JI$50:JI$64,Calc!$D$17))))</f>
        <v/>
      </c>
      <c r="AE95" s="20">
        <f>IF(AF95="","",N(AF94)*(1+Start!$E$26/12)-AF95)</f>
        <v/>
      </c>
      <c r="AF95" s="20">
        <f>IF(OR(OR(Calc!$B$4=0,$B95&gt;IF(Start!$D$10="Avalanche",Calc!$B$3,Calc!$B$2)),Calc!$B$18=0),"",IF(N(AF94)&lt;=0.005,"",IF(Start!$D$10="Avalanche",INDEX(Calc!JI$75:JI$89,Calc!$F$18),INDEX(Calc!JI$50:JI$64,Calc!$D$18))))</f>
        <v/>
      </c>
      <c r="AG95" s="20">
        <f>IF(AH95="","",N(AH94)*(1+Start!$E$27/12)-AH95)</f>
        <v/>
      </c>
      <c r="AH95" s="20">
        <f>IF(OR(OR(Calc!$B$4=0,$B95&gt;IF(Start!$D$10="Avalanche",Calc!$B$3,Calc!$B$2)),Calc!$B$19=0),"",IF(N(AH94)&lt;=0.005,"",IF(Start!$D$10="Avalanche",INDEX(Calc!JI$75:JI$89,Calc!$F$19),INDEX(Calc!JI$50:JI$64,Calc!$D$19))))</f>
        <v/>
      </c>
      <c r="AI95" s="20">
        <f>IF(AJ95="","",N(AJ94)*(1+Start!$E$28/12)-AJ95)</f>
        <v/>
      </c>
      <c r="AJ95" s="20">
        <f>IF(OR(OR(Calc!$B$4=0,$B95&gt;IF(Start!$D$10="Avalanche",Calc!$B$3,Calc!$B$2)),Calc!$B$20=0),"",IF(N(AJ94)&lt;=0.005,"",IF(Start!$D$10="Avalanche",INDEX(Calc!JI$75:JI$89,Calc!$F$20),INDEX(Calc!JI$50:JI$64,Calc!$D$20))))</f>
        <v/>
      </c>
    </row>
    <row r="96">
      <c r="B96" s="17" t="n">
        <v>90</v>
      </c>
      <c r="C96" s="19">
        <f>IF(Calc!$B$4=0,"",EDATE(Start!$D$11,89))</f>
        <v/>
      </c>
      <c r="D96" s="20">
        <f>IF(OR(Calc!$B$4=0,$B96&gt;IF(Start!$D$10="Avalanche",Calc!$B$3,Calc!$B$2)),"",SUM(G96,I96,K96,M96,O96,Q96,S96,U96,W96,Y96,AA96,AC96,AE96,AG96,AI96))</f>
        <v/>
      </c>
      <c r="E96" s="20">
        <f>IF(OR(Calc!$B$4=0,$B96&gt;IF(Start!$D$10="Avalanche",Calc!$B$3,Calc!$B$2)),"",IF(Start!$D$10="Avalanche",Calc!JJ$72,Calc!JJ$47))</f>
        <v/>
      </c>
      <c r="F96" s="21">
        <f>IF(Calc!$B$4=0,"",IF($B96&gt;IF(Start!$D$10="Avalanche",Calc!$B$3,Calc!$B$2),NA(),SUM(H96,J96,L96,N96,P96,R96,T96,V96,X96,Z96,AB96,AD96,AF96,AH96,AJ96)))</f>
        <v/>
      </c>
      <c r="G96" s="20">
        <f>IF(H96="","",N(H95)*(1+Start!$E$14/12)-H96)</f>
        <v/>
      </c>
      <c r="H96" s="20">
        <f>IF(OR(OR(Calc!$B$4=0,$B96&gt;IF(Start!$D$10="Avalanche",Calc!$B$3,Calc!$B$2)),Calc!$B$6=0),"",IF(N(H95)&lt;=0.005,"",IF(Start!$D$10="Avalanche",INDEX(Calc!JL$75:JL$89,Calc!$F$6),INDEX(Calc!JL$50:JL$64,Calc!$D$6))))</f>
        <v/>
      </c>
      <c r="I96" s="20">
        <f>IF(J96="","",N(J95)*(1+Start!$E$15/12)-J96)</f>
        <v/>
      </c>
      <c r="J96" s="20">
        <f>IF(OR(OR(Calc!$B$4=0,$B96&gt;IF(Start!$D$10="Avalanche",Calc!$B$3,Calc!$B$2)),Calc!$B$7=0),"",IF(N(J95)&lt;=0.005,"",IF(Start!$D$10="Avalanche",INDEX(Calc!JL$75:JL$89,Calc!$F$7),INDEX(Calc!JL$50:JL$64,Calc!$D$7))))</f>
        <v/>
      </c>
      <c r="K96" s="20">
        <f>IF(L96="","",N(L95)*(1+Start!$E$16/12)-L96)</f>
        <v/>
      </c>
      <c r="L96" s="20">
        <f>IF(OR(OR(Calc!$B$4=0,$B96&gt;IF(Start!$D$10="Avalanche",Calc!$B$3,Calc!$B$2)),Calc!$B$8=0),"",IF(N(L95)&lt;=0.005,"",IF(Start!$D$10="Avalanche",INDEX(Calc!JL$75:JL$89,Calc!$F$8),INDEX(Calc!JL$50:JL$64,Calc!$D$8))))</f>
        <v/>
      </c>
      <c r="M96" s="20">
        <f>IF(N96="","",N(N95)*(1+Start!$E$17/12)-N96)</f>
        <v/>
      </c>
      <c r="N96" s="20">
        <f>IF(OR(OR(Calc!$B$4=0,$B96&gt;IF(Start!$D$10="Avalanche",Calc!$B$3,Calc!$B$2)),Calc!$B$9=0),"",IF(N(N95)&lt;=0.005,"",IF(Start!$D$10="Avalanche",INDEX(Calc!JL$75:JL$89,Calc!$F$9),INDEX(Calc!JL$50:JL$64,Calc!$D$9))))</f>
        <v/>
      </c>
      <c r="O96" s="20">
        <f>IF(P96="","",N(P95)*(1+Start!$E$18/12)-P96)</f>
        <v/>
      </c>
      <c r="P96" s="20">
        <f>IF(OR(OR(Calc!$B$4=0,$B96&gt;IF(Start!$D$10="Avalanche",Calc!$B$3,Calc!$B$2)),Calc!$B$10=0),"",IF(N(P95)&lt;=0.005,"",IF(Start!$D$10="Avalanche",INDEX(Calc!JL$75:JL$89,Calc!$F$10),INDEX(Calc!JL$50:JL$64,Calc!$D$10))))</f>
        <v/>
      </c>
      <c r="Q96" s="20">
        <f>IF(R96="","",N(R95)*(1+Start!$E$19/12)-R96)</f>
        <v/>
      </c>
      <c r="R96" s="20">
        <f>IF(OR(OR(Calc!$B$4=0,$B96&gt;IF(Start!$D$10="Avalanche",Calc!$B$3,Calc!$B$2)),Calc!$B$11=0),"",IF(N(R95)&lt;=0.005,"",IF(Start!$D$10="Avalanche",INDEX(Calc!JL$75:JL$89,Calc!$F$11),INDEX(Calc!JL$50:JL$64,Calc!$D$11))))</f>
        <v/>
      </c>
      <c r="S96" s="20">
        <f>IF(T96="","",N(T95)*(1+Start!$E$20/12)-T96)</f>
        <v/>
      </c>
      <c r="T96" s="20">
        <f>IF(OR(OR(Calc!$B$4=0,$B96&gt;IF(Start!$D$10="Avalanche",Calc!$B$3,Calc!$B$2)),Calc!$B$12=0),"",IF(N(T95)&lt;=0.005,"",IF(Start!$D$10="Avalanche",INDEX(Calc!JL$75:JL$89,Calc!$F$12),INDEX(Calc!JL$50:JL$64,Calc!$D$12))))</f>
        <v/>
      </c>
      <c r="U96" s="20">
        <f>IF(V96="","",N(V95)*(1+Start!$E$21/12)-V96)</f>
        <v/>
      </c>
      <c r="V96" s="20">
        <f>IF(OR(OR(Calc!$B$4=0,$B96&gt;IF(Start!$D$10="Avalanche",Calc!$B$3,Calc!$B$2)),Calc!$B$13=0),"",IF(N(V95)&lt;=0.005,"",IF(Start!$D$10="Avalanche",INDEX(Calc!JL$75:JL$89,Calc!$F$13),INDEX(Calc!JL$50:JL$64,Calc!$D$13))))</f>
        <v/>
      </c>
      <c r="W96" s="20">
        <f>IF(X96="","",N(X95)*(1+Start!$E$22/12)-X96)</f>
        <v/>
      </c>
      <c r="X96" s="20">
        <f>IF(OR(OR(Calc!$B$4=0,$B96&gt;IF(Start!$D$10="Avalanche",Calc!$B$3,Calc!$B$2)),Calc!$B$14=0),"",IF(N(X95)&lt;=0.005,"",IF(Start!$D$10="Avalanche",INDEX(Calc!JL$75:JL$89,Calc!$F$14),INDEX(Calc!JL$50:JL$64,Calc!$D$14))))</f>
        <v/>
      </c>
      <c r="Y96" s="20">
        <f>IF(Z96="","",N(Z95)*(1+Start!$E$23/12)-Z96)</f>
        <v/>
      </c>
      <c r="Z96" s="20">
        <f>IF(OR(OR(Calc!$B$4=0,$B96&gt;IF(Start!$D$10="Avalanche",Calc!$B$3,Calc!$B$2)),Calc!$B$15=0),"",IF(N(Z95)&lt;=0.005,"",IF(Start!$D$10="Avalanche",INDEX(Calc!JL$75:JL$89,Calc!$F$15),INDEX(Calc!JL$50:JL$64,Calc!$D$15))))</f>
        <v/>
      </c>
      <c r="AA96" s="20">
        <f>IF(AB96="","",N(AB95)*(1+Start!$E$24/12)-AB96)</f>
        <v/>
      </c>
      <c r="AB96" s="20">
        <f>IF(OR(OR(Calc!$B$4=0,$B96&gt;IF(Start!$D$10="Avalanche",Calc!$B$3,Calc!$B$2)),Calc!$B$16=0),"",IF(N(AB95)&lt;=0.005,"",IF(Start!$D$10="Avalanche",INDEX(Calc!JL$75:JL$89,Calc!$F$16),INDEX(Calc!JL$50:JL$64,Calc!$D$16))))</f>
        <v/>
      </c>
      <c r="AC96" s="20">
        <f>IF(AD96="","",N(AD95)*(1+Start!$E$25/12)-AD96)</f>
        <v/>
      </c>
      <c r="AD96" s="20">
        <f>IF(OR(OR(Calc!$B$4=0,$B96&gt;IF(Start!$D$10="Avalanche",Calc!$B$3,Calc!$B$2)),Calc!$B$17=0),"",IF(N(AD95)&lt;=0.005,"",IF(Start!$D$10="Avalanche",INDEX(Calc!JL$75:JL$89,Calc!$F$17),INDEX(Calc!JL$50:JL$64,Calc!$D$17))))</f>
        <v/>
      </c>
      <c r="AE96" s="20">
        <f>IF(AF96="","",N(AF95)*(1+Start!$E$26/12)-AF96)</f>
        <v/>
      </c>
      <c r="AF96" s="20">
        <f>IF(OR(OR(Calc!$B$4=0,$B96&gt;IF(Start!$D$10="Avalanche",Calc!$B$3,Calc!$B$2)),Calc!$B$18=0),"",IF(N(AF95)&lt;=0.005,"",IF(Start!$D$10="Avalanche",INDEX(Calc!JL$75:JL$89,Calc!$F$18),INDEX(Calc!JL$50:JL$64,Calc!$D$18))))</f>
        <v/>
      </c>
      <c r="AG96" s="20">
        <f>IF(AH96="","",N(AH95)*(1+Start!$E$27/12)-AH96)</f>
        <v/>
      </c>
      <c r="AH96" s="20">
        <f>IF(OR(OR(Calc!$B$4=0,$B96&gt;IF(Start!$D$10="Avalanche",Calc!$B$3,Calc!$B$2)),Calc!$B$19=0),"",IF(N(AH95)&lt;=0.005,"",IF(Start!$D$10="Avalanche",INDEX(Calc!JL$75:JL$89,Calc!$F$19),INDEX(Calc!JL$50:JL$64,Calc!$D$19))))</f>
        <v/>
      </c>
      <c r="AI96" s="20">
        <f>IF(AJ96="","",N(AJ95)*(1+Start!$E$28/12)-AJ96)</f>
        <v/>
      </c>
      <c r="AJ96" s="20">
        <f>IF(OR(OR(Calc!$B$4=0,$B96&gt;IF(Start!$D$10="Avalanche",Calc!$B$3,Calc!$B$2)),Calc!$B$20=0),"",IF(N(AJ95)&lt;=0.005,"",IF(Start!$D$10="Avalanche",INDEX(Calc!JL$75:JL$89,Calc!$F$20),INDEX(Calc!JL$50:JL$64,Calc!$D$20))))</f>
        <v/>
      </c>
    </row>
    <row r="97">
      <c r="B97" s="17" t="n">
        <v>91</v>
      </c>
      <c r="C97" s="19">
        <f>IF(Calc!$B$4=0,"",EDATE(Start!$D$11,90))</f>
        <v/>
      </c>
      <c r="D97" s="20">
        <f>IF(OR(Calc!$B$4=0,$B97&gt;IF(Start!$D$10="Avalanche",Calc!$B$3,Calc!$B$2)),"",SUM(G97,I97,K97,M97,O97,Q97,S97,U97,W97,Y97,AA97,AC97,AE97,AG97,AI97))</f>
        <v/>
      </c>
      <c r="E97" s="20">
        <f>IF(OR(Calc!$B$4=0,$B97&gt;IF(Start!$D$10="Avalanche",Calc!$B$3,Calc!$B$2)),"",IF(Start!$D$10="Avalanche",Calc!JM$72,Calc!JM$47))</f>
        <v/>
      </c>
      <c r="F97" s="21">
        <f>IF(Calc!$B$4=0,"",IF($B97&gt;IF(Start!$D$10="Avalanche",Calc!$B$3,Calc!$B$2),NA(),SUM(H97,J97,L97,N97,P97,R97,T97,V97,X97,Z97,AB97,AD97,AF97,AH97,AJ97)))</f>
        <v/>
      </c>
      <c r="G97" s="20">
        <f>IF(H97="","",N(H96)*(1+Start!$E$14/12)-H97)</f>
        <v/>
      </c>
      <c r="H97" s="20">
        <f>IF(OR(OR(Calc!$B$4=0,$B97&gt;IF(Start!$D$10="Avalanche",Calc!$B$3,Calc!$B$2)),Calc!$B$6=0),"",IF(N(H96)&lt;=0.005,"",IF(Start!$D$10="Avalanche",INDEX(Calc!JO$75:JO$89,Calc!$F$6),INDEX(Calc!JO$50:JO$64,Calc!$D$6))))</f>
        <v/>
      </c>
      <c r="I97" s="20">
        <f>IF(J97="","",N(J96)*(1+Start!$E$15/12)-J97)</f>
        <v/>
      </c>
      <c r="J97" s="20">
        <f>IF(OR(OR(Calc!$B$4=0,$B97&gt;IF(Start!$D$10="Avalanche",Calc!$B$3,Calc!$B$2)),Calc!$B$7=0),"",IF(N(J96)&lt;=0.005,"",IF(Start!$D$10="Avalanche",INDEX(Calc!JO$75:JO$89,Calc!$F$7),INDEX(Calc!JO$50:JO$64,Calc!$D$7))))</f>
        <v/>
      </c>
      <c r="K97" s="20">
        <f>IF(L97="","",N(L96)*(1+Start!$E$16/12)-L97)</f>
        <v/>
      </c>
      <c r="L97" s="20">
        <f>IF(OR(OR(Calc!$B$4=0,$B97&gt;IF(Start!$D$10="Avalanche",Calc!$B$3,Calc!$B$2)),Calc!$B$8=0),"",IF(N(L96)&lt;=0.005,"",IF(Start!$D$10="Avalanche",INDEX(Calc!JO$75:JO$89,Calc!$F$8),INDEX(Calc!JO$50:JO$64,Calc!$D$8))))</f>
        <v/>
      </c>
      <c r="M97" s="20">
        <f>IF(N97="","",N(N96)*(1+Start!$E$17/12)-N97)</f>
        <v/>
      </c>
      <c r="N97" s="20">
        <f>IF(OR(OR(Calc!$B$4=0,$B97&gt;IF(Start!$D$10="Avalanche",Calc!$B$3,Calc!$B$2)),Calc!$B$9=0),"",IF(N(N96)&lt;=0.005,"",IF(Start!$D$10="Avalanche",INDEX(Calc!JO$75:JO$89,Calc!$F$9),INDEX(Calc!JO$50:JO$64,Calc!$D$9))))</f>
        <v/>
      </c>
      <c r="O97" s="20">
        <f>IF(P97="","",N(P96)*(1+Start!$E$18/12)-P97)</f>
        <v/>
      </c>
      <c r="P97" s="20">
        <f>IF(OR(OR(Calc!$B$4=0,$B97&gt;IF(Start!$D$10="Avalanche",Calc!$B$3,Calc!$B$2)),Calc!$B$10=0),"",IF(N(P96)&lt;=0.005,"",IF(Start!$D$10="Avalanche",INDEX(Calc!JO$75:JO$89,Calc!$F$10),INDEX(Calc!JO$50:JO$64,Calc!$D$10))))</f>
        <v/>
      </c>
      <c r="Q97" s="20">
        <f>IF(R97="","",N(R96)*(1+Start!$E$19/12)-R97)</f>
        <v/>
      </c>
      <c r="R97" s="20">
        <f>IF(OR(OR(Calc!$B$4=0,$B97&gt;IF(Start!$D$10="Avalanche",Calc!$B$3,Calc!$B$2)),Calc!$B$11=0),"",IF(N(R96)&lt;=0.005,"",IF(Start!$D$10="Avalanche",INDEX(Calc!JO$75:JO$89,Calc!$F$11),INDEX(Calc!JO$50:JO$64,Calc!$D$11))))</f>
        <v/>
      </c>
      <c r="S97" s="20">
        <f>IF(T97="","",N(T96)*(1+Start!$E$20/12)-T97)</f>
        <v/>
      </c>
      <c r="T97" s="20">
        <f>IF(OR(OR(Calc!$B$4=0,$B97&gt;IF(Start!$D$10="Avalanche",Calc!$B$3,Calc!$B$2)),Calc!$B$12=0),"",IF(N(T96)&lt;=0.005,"",IF(Start!$D$10="Avalanche",INDEX(Calc!JO$75:JO$89,Calc!$F$12),INDEX(Calc!JO$50:JO$64,Calc!$D$12))))</f>
        <v/>
      </c>
      <c r="U97" s="20">
        <f>IF(V97="","",N(V96)*(1+Start!$E$21/12)-V97)</f>
        <v/>
      </c>
      <c r="V97" s="20">
        <f>IF(OR(OR(Calc!$B$4=0,$B97&gt;IF(Start!$D$10="Avalanche",Calc!$B$3,Calc!$B$2)),Calc!$B$13=0),"",IF(N(V96)&lt;=0.005,"",IF(Start!$D$10="Avalanche",INDEX(Calc!JO$75:JO$89,Calc!$F$13),INDEX(Calc!JO$50:JO$64,Calc!$D$13))))</f>
        <v/>
      </c>
      <c r="W97" s="20">
        <f>IF(X97="","",N(X96)*(1+Start!$E$22/12)-X97)</f>
        <v/>
      </c>
      <c r="X97" s="20">
        <f>IF(OR(OR(Calc!$B$4=0,$B97&gt;IF(Start!$D$10="Avalanche",Calc!$B$3,Calc!$B$2)),Calc!$B$14=0),"",IF(N(X96)&lt;=0.005,"",IF(Start!$D$10="Avalanche",INDEX(Calc!JO$75:JO$89,Calc!$F$14),INDEX(Calc!JO$50:JO$64,Calc!$D$14))))</f>
        <v/>
      </c>
      <c r="Y97" s="20">
        <f>IF(Z97="","",N(Z96)*(1+Start!$E$23/12)-Z97)</f>
        <v/>
      </c>
      <c r="Z97" s="20">
        <f>IF(OR(OR(Calc!$B$4=0,$B97&gt;IF(Start!$D$10="Avalanche",Calc!$B$3,Calc!$B$2)),Calc!$B$15=0),"",IF(N(Z96)&lt;=0.005,"",IF(Start!$D$10="Avalanche",INDEX(Calc!JO$75:JO$89,Calc!$F$15),INDEX(Calc!JO$50:JO$64,Calc!$D$15))))</f>
        <v/>
      </c>
      <c r="AA97" s="20">
        <f>IF(AB97="","",N(AB96)*(1+Start!$E$24/12)-AB97)</f>
        <v/>
      </c>
      <c r="AB97" s="20">
        <f>IF(OR(OR(Calc!$B$4=0,$B97&gt;IF(Start!$D$10="Avalanche",Calc!$B$3,Calc!$B$2)),Calc!$B$16=0),"",IF(N(AB96)&lt;=0.005,"",IF(Start!$D$10="Avalanche",INDEX(Calc!JO$75:JO$89,Calc!$F$16),INDEX(Calc!JO$50:JO$64,Calc!$D$16))))</f>
        <v/>
      </c>
      <c r="AC97" s="20">
        <f>IF(AD97="","",N(AD96)*(1+Start!$E$25/12)-AD97)</f>
        <v/>
      </c>
      <c r="AD97" s="20">
        <f>IF(OR(OR(Calc!$B$4=0,$B97&gt;IF(Start!$D$10="Avalanche",Calc!$B$3,Calc!$B$2)),Calc!$B$17=0),"",IF(N(AD96)&lt;=0.005,"",IF(Start!$D$10="Avalanche",INDEX(Calc!JO$75:JO$89,Calc!$F$17),INDEX(Calc!JO$50:JO$64,Calc!$D$17))))</f>
        <v/>
      </c>
      <c r="AE97" s="20">
        <f>IF(AF97="","",N(AF96)*(1+Start!$E$26/12)-AF97)</f>
        <v/>
      </c>
      <c r="AF97" s="20">
        <f>IF(OR(OR(Calc!$B$4=0,$B97&gt;IF(Start!$D$10="Avalanche",Calc!$B$3,Calc!$B$2)),Calc!$B$18=0),"",IF(N(AF96)&lt;=0.005,"",IF(Start!$D$10="Avalanche",INDEX(Calc!JO$75:JO$89,Calc!$F$18),INDEX(Calc!JO$50:JO$64,Calc!$D$18))))</f>
        <v/>
      </c>
      <c r="AG97" s="20">
        <f>IF(AH97="","",N(AH96)*(1+Start!$E$27/12)-AH97)</f>
        <v/>
      </c>
      <c r="AH97" s="20">
        <f>IF(OR(OR(Calc!$B$4=0,$B97&gt;IF(Start!$D$10="Avalanche",Calc!$B$3,Calc!$B$2)),Calc!$B$19=0),"",IF(N(AH96)&lt;=0.005,"",IF(Start!$D$10="Avalanche",INDEX(Calc!JO$75:JO$89,Calc!$F$19),INDEX(Calc!JO$50:JO$64,Calc!$D$19))))</f>
        <v/>
      </c>
      <c r="AI97" s="20">
        <f>IF(AJ97="","",N(AJ96)*(1+Start!$E$28/12)-AJ97)</f>
        <v/>
      </c>
      <c r="AJ97" s="20">
        <f>IF(OR(OR(Calc!$B$4=0,$B97&gt;IF(Start!$D$10="Avalanche",Calc!$B$3,Calc!$B$2)),Calc!$B$20=0),"",IF(N(AJ96)&lt;=0.005,"",IF(Start!$D$10="Avalanche",INDEX(Calc!JO$75:JO$89,Calc!$F$20),INDEX(Calc!JO$50:JO$64,Calc!$D$20))))</f>
        <v/>
      </c>
    </row>
    <row r="98">
      <c r="B98" s="17" t="n">
        <v>92</v>
      </c>
      <c r="C98" s="19">
        <f>IF(Calc!$B$4=0,"",EDATE(Start!$D$11,91))</f>
        <v/>
      </c>
      <c r="D98" s="20">
        <f>IF(OR(Calc!$B$4=0,$B98&gt;IF(Start!$D$10="Avalanche",Calc!$B$3,Calc!$B$2)),"",SUM(G98,I98,K98,M98,O98,Q98,S98,U98,W98,Y98,AA98,AC98,AE98,AG98,AI98))</f>
        <v/>
      </c>
      <c r="E98" s="20">
        <f>IF(OR(Calc!$B$4=0,$B98&gt;IF(Start!$D$10="Avalanche",Calc!$B$3,Calc!$B$2)),"",IF(Start!$D$10="Avalanche",Calc!JP$72,Calc!JP$47))</f>
        <v/>
      </c>
      <c r="F98" s="21">
        <f>IF(Calc!$B$4=0,"",IF($B98&gt;IF(Start!$D$10="Avalanche",Calc!$B$3,Calc!$B$2),NA(),SUM(H98,J98,L98,N98,P98,R98,T98,V98,X98,Z98,AB98,AD98,AF98,AH98,AJ98)))</f>
        <v/>
      </c>
      <c r="G98" s="20">
        <f>IF(H98="","",N(H97)*(1+Start!$E$14/12)-H98)</f>
        <v/>
      </c>
      <c r="H98" s="20">
        <f>IF(OR(OR(Calc!$B$4=0,$B98&gt;IF(Start!$D$10="Avalanche",Calc!$B$3,Calc!$B$2)),Calc!$B$6=0),"",IF(N(H97)&lt;=0.005,"",IF(Start!$D$10="Avalanche",INDEX(Calc!JR$75:JR$89,Calc!$F$6),INDEX(Calc!JR$50:JR$64,Calc!$D$6))))</f>
        <v/>
      </c>
      <c r="I98" s="20">
        <f>IF(J98="","",N(J97)*(1+Start!$E$15/12)-J98)</f>
        <v/>
      </c>
      <c r="J98" s="20">
        <f>IF(OR(OR(Calc!$B$4=0,$B98&gt;IF(Start!$D$10="Avalanche",Calc!$B$3,Calc!$B$2)),Calc!$B$7=0),"",IF(N(J97)&lt;=0.005,"",IF(Start!$D$10="Avalanche",INDEX(Calc!JR$75:JR$89,Calc!$F$7),INDEX(Calc!JR$50:JR$64,Calc!$D$7))))</f>
        <v/>
      </c>
      <c r="K98" s="20">
        <f>IF(L98="","",N(L97)*(1+Start!$E$16/12)-L98)</f>
        <v/>
      </c>
      <c r="L98" s="20">
        <f>IF(OR(OR(Calc!$B$4=0,$B98&gt;IF(Start!$D$10="Avalanche",Calc!$B$3,Calc!$B$2)),Calc!$B$8=0),"",IF(N(L97)&lt;=0.005,"",IF(Start!$D$10="Avalanche",INDEX(Calc!JR$75:JR$89,Calc!$F$8),INDEX(Calc!JR$50:JR$64,Calc!$D$8))))</f>
        <v/>
      </c>
      <c r="M98" s="20">
        <f>IF(N98="","",N(N97)*(1+Start!$E$17/12)-N98)</f>
        <v/>
      </c>
      <c r="N98" s="20">
        <f>IF(OR(OR(Calc!$B$4=0,$B98&gt;IF(Start!$D$10="Avalanche",Calc!$B$3,Calc!$B$2)),Calc!$B$9=0),"",IF(N(N97)&lt;=0.005,"",IF(Start!$D$10="Avalanche",INDEX(Calc!JR$75:JR$89,Calc!$F$9),INDEX(Calc!JR$50:JR$64,Calc!$D$9))))</f>
        <v/>
      </c>
      <c r="O98" s="20">
        <f>IF(P98="","",N(P97)*(1+Start!$E$18/12)-P98)</f>
        <v/>
      </c>
      <c r="P98" s="20">
        <f>IF(OR(OR(Calc!$B$4=0,$B98&gt;IF(Start!$D$10="Avalanche",Calc!$B$3,Calc!$B$2)),Calc!$B$10=0),"",IF(N(P97)&lt;=0.005,"",IF(Start!$D$10="Avalanche",INDEX(Calc!JR$75:JR$89,Calc!$F$10),INDEX(Calc!JR$50:JR$64,Calc!$D$10))))</f>
        <v/>
      </c>
      <c r="Q98" s="20">
        <f>IF(R98="","",N(R97)*(1+Start!$E$19/12)-R98)</f>
        <v/>
      </c>
      <c r="R98" s="20">
        <f>IF(OR(OR(Calc!$B$4=0,$B98&gt;IF(Start!$D$10="Avalanche",Calc!$B$3,Calc!$B$2)),Calc!$B$11=0),"",IF(N(R97)&lt;=0.005,"",IF(Start!$D$10="Avalanche",INDEX(Calc!JR$75:JR$89,Calc!$F$11),INDEX(Calc!JR$50:JR$64,Calc!$D$11))))</f>
        <v/>
      </c>
      <c r="S98" s="20">
        <f>IF(T98="","",N(T97)*(1+Start!$E$20/12)-T98)</f>
        <v/>
      </c>
      <c r="T98" s="20">
        <f>IF(OR(OR(Calc!$B$4=0,$B98&gt;IF(Start!$D$10="Avalanche",Calc!$B$3,Calc!$B$2)),Calc!$B$12=0),"",IF(N(T97)&lt;=0.005,"",IF(Start!$D$10="Avalanche",INDEX(Calc!JR$75:JR$89,Calc!$F$12),INDEX(Calc!JR$50:JR$64,Calc!$D$12))))</f>
        <v/>
      </c>
      <c r="U98" s="20">
        <f>IF(V98="","",N(V97)*(1+Start!$E$21/12)-V98)</f>
        <v/>
      </c>
      <c r="V98" s="20">
        <f>IF(OR(OR(Calc!$B$4=0,$B98&gt;IF(Start!$D$10="Avalanche",Calc!$B$3,Calc!$B$2)),Calc!$B$13=0),"",IF(N(V97)&lt;=0.005,"",IF(Start!$D$10="Avalanche",INDEX(Calc!JR$75:JR$89,Calc!$F$13),INDEX(Calc!JR$50:JR$64,Calc!$D$13))))</f>
        <v/>
      </c>
      <c r="W98" s="20">
        <f>IF(X98="","",N(X97)*(1+Start!$E$22/12)-X98)</f>
        <v/>
      </c>
      <c r="X98" s="20">
        <f>IF(OR(OR(Calc!$B$4=0,$B98&gt;IF(Start!$D$10="Avalanche",Calc!$B$3,Calc!$B$2)),Calc!$B$14=0),"",IF(N(X97)&lt;=0.005,"",IF(Start!$D$10="Avalanche",INDEX(Calc!JR$75:JR$89,Calc!$F$14),INDEX(Calc!JR$50:JR$64,Calc!$D$14))))</f>
        <v/>
      </c>
      <c r="Y98" s="20">
        <f>IF(Z98="","",N(Z97)*(1+Start!$E$23/12)-Z98)</f>
        <v/>
      </c>
      <c r="Z98" s="20">
        <f>IF(OR(OR(Calc!$B$4=0,$B98&gt;IF(Start!$D$10="Avalanche",Calc!$B$3,Calc!$B$2)),Calc!$B$15=0),"",IF(N(Z97)&lt;=0.005,"",IF(Start!$D$10="Avalanche",INDEX(Calc!JR$75:JR$89,Calc!$F$15),INDEX(Calc!JR$50:JR$64,Calc!$D$15))))</f>
        <v/>
      </c>
      <c r="AA98" s="20">
        <f>IF(AB98="","",N(AB97)*(1+Start!$E$24/12)-AB98)</f>
        <v/>
      </c>
      <c r="AB98" s="20">
        <f>IF(OR(OR(Calc!$B$4=0,$B98&gt;IF(Start!$D$10="Avalanche",Calc!$B$3,Calc!$B$2)),Calc!$B$16=0),"",IF(N(AB97)&lt;=0.005,"",IF(Start!$D$10="Avalanche",INDEX(Calc!JR$75:JR$89,Calc!$F$16),INDEX(Calc!JR$50:JR$64,Calc!$D$16))))</f>
        <v/>
      </c>
      <c r="AC98" s="20">
        <f>IF(AD98="","",N(AD97)*(1+Start!$E$25/12)-AD98)</f>
        <v/>
      </c>
      <c r="AD98" s="20">
        <f>IF(OR(OR(Calc!$B$4=0,$B98&gt;IF(Start!$D$10="Avalanche",Calc!$B$3,Calc!$B$2)),Calc!$B$17=0),"",IF(N(AD97)&lt;=0.005,"",IF(Start!$D$10="Avalanche",INDEX(Calc!JR$75:JR$89,Calc!$F$17),INDEX(Calc!JR$50:JR$64,Calc!$D$17))))</f>
        <v/>
      </c>
      <c r="AE98" s="20">
        <f>IF(AF98="","",N(AF97)*(1+Start!$E$26/12)-AF98)</f>
        <v/>
      </c>
      <c r="AF98" s="20">
        <f>IF(OR(OR(Calc!$B$4=0,$B98&gt;IF(Start!$D$10="Avalanche",Calc!$B$3,Calc!$B$2)),Calc!$B$18=0),"",IF(N(AF97)&lt;=0.005,"",IF(Start!$D$10="Avalanche",INDEX(Calc!JR$75:JR$89,Calc!$F$18),INDEX(Calc!JR$50:JR$64,Calc!$D$18))))</f>
        <v/>
      </c>
      <c r="AG98" s="20">
        <f>IF(AH98="","",N(AH97)*(1+Start!$E$27/12)-AH98)</f>
        <v/>
      </c>
      <c r="AH98" s="20">
        <f>IF(OR(OR(Calc!$B$4=0,$B98&gt;IF(Start!$D$10="Avalanche",Calc!$B$3,Calc!$B$2)),Calc!$B$19=0),"",IF(N(AH97)&lt;=0.005,"",IF(Start!$D$10="Avalanche",INDEX(Calc!JR$75:JR$89,Calc!$F$19),INDEX(Calc!JR$50:JR$64,Calc!$D$19))))</f>
        <v/>
      </c>
      <c r="AI98" s="20">
        <f>IF(AJ98="","",N(AJ97)*(1+Start!$E$28/12)-AJ98)</f>
        <v/>
      </c>
      <c r="AJ98" s="20">
        <f>IF(OR(OR(Calc!$B$4=0,$B98&gt;IF(Start!$D$10="Avalanche",Calc!$B$3,Calc!$B$2)),Calc!$B$20=0),"",IF(N(AJ97)&lt;=0.005,"",IF(Start!$D$10="Avalanche",INDEX(Calc!JR$75:JR$89,Calc!$F$20),INDEX(Calc!JR$50:JR$64,Calc!$D$20))))</f>
        <v/>
      </c>
    </row>
    <row r="99">
      <c r="B99" s="17" t="n">
        <v>93</v>
      </c>
      <c r="C99" s="19">
        <f>IF(Calc!$B$4=0,"",EDATE(Start!$D$11,92))</f>
        <v/>
      </c>
      <c r="D99" s="20">
        <f>IF(OR(Calc!$B$4=0,$B99&gt;IF(Start!$D$10="Avalanche",Calc!$B$3,Calc!$B$2)),"",SUM(G99,I99,K99,M99,O99,Q99,S99,U99,W99,Y99,AA99,AC99,AE99,AG99,AI99))</f>
        <v/>
      </c>
      <c r="E99" s="20">
        <f>IF(OR(Calc!$B$4=0,$B99&gt;IF(Start!$D$10="Avalanche",Calc!$B$3,Calc!$B$2)),"",IF(Start!$D$10="Avalanche",Calc!JS$72,Calc!JS$47))</f>
        <v/>
      </c>
      <c r="F99" s="21">
        <f>IF(Calc!$B$4=0,"",IF($B99&gt;IF(Start!$D$10="Avalanche",Calc!$B$3,Calc!$B$2),NA(),SUM(H99,J99,L99,N99,P99,R99,T99,V99,X99,Z99,AB99,AD99,AF99,AH99,AJ99)))</f>
        <v/>
      </c>
      <c r="G99" s="20">
        <f>IF(H99="","",N(H98)*(1+Start!$E$14/12)-H99)</f>
        <v/>
      </c>
      <c r="H99" s="20">
        <f>IF(OR(OR(Calc!$B$4=0,$B99&gt;IF(Start!$D$10="Avalanche",Calc!$B$3,Calc!$B$2)),Calc!$B$6=0),"",IF(N(H98)&lt;=0.005,"",IF(Start!$D$10="Avalanche",INDEX(Calc!JU$75:JU$89,Calc!$F$6),INDEX(Calc!JU$50:JU$64,Calc!$D$6))))</f>
        <v/>
      </c>
      <c r="I99" s="20">
        <f>IF(J99="","",N(J98)*(1+Start!$E$15/12)-J99)</f>
        <v/>
      </c>
      <c r="J99" s="20">
        <f>IF(OR(OR(Calc!$B$4=0,$B99&gt;IF(Start!$D$10="Avalanche",Calc!$B$3,Calc!$B$2)),Calc!$B$7=0),"",IF(N(J98)&lt;=0.005,"",IF(Start!$D$10="Avalanche",INDEX(Calc!JU$75:JU$89,Calc!$F$7),INDEX(Calc!JU$50:JU$64,Calc!$D$7))))</f>
        <v/>
      </c>
      <c r="K99" s="20">
        <f>IF(L99="","",N(L98)*(1+Start!$E$16/12)-L99)</f>
        <v/>
      </c>
      <c r="L99" s="20">
        <f>IF(OR(OR(Calc!$B$4=0,$B99&gt;IF(Start!$D$10="Avalanche",Calc!$B$3,Calc!$B$2)),Calc!$B$8=0),"",IF(N(L98)&lt;=0.005,"",IF(Start!$D$10="Avalanche",INDEX(Calc!JU$75:JU$89,Calc!$F$8),INDEX(Calc!JU$50:JU$64,Calc!$D$8))))</f>
        <v/>
      </c>
      <c r="M99" s="20">
        <f>IF(N99="","",N(N98)*(1+Start!$E$17/12)-N99)</f>
        <v/>
      </c>
      <c r="N99" s="20">
        <f>IF(OR(OR(Calc!$B$4=0,$B99&gt;IF(Start!$D$10="Avalanche",Calc!$B$3,Calc!$B$2)),Calc!$B$9=0),"",IF(N(N98)&lt;=0.005,"",IF(Start!$D$10="Avalanche",INDEX(Calc!JU$75:JU$89,Calc!$F$9),INDEX(Calc!JU$50:JU$64,Calc!$D$9))))</f>
        <v/>
      </c>
      <c r="O99" s="20">
        <f>IF(P99="","",N(P98)*(1+Start!$E$18/12)-P99)</f>
        <v/>
      </c>
      <c r="P99" s="20">
        <f>IF(OR(OR(Calc!$B$4=0,$B99&gt;IF(Start!$D$10="Avalanche",Calc!$B$3,Calc!$B$2)),Calc!$B$10=0),"",IF(N(P98)&lt;=0.005,"",IF(Start!$D$10="Avalanche",INDEX(Calc!JU$75:JU$89,Calc!$F$10),INDEX(Calc!JU$50:JU$64,Calc!$D$10))))</f>
        <v/>
      </c>
      <c r="Q99" s="20">
        <f>IF(R99="","",N(R98)*(1+Start!$E$19/12)-R99)</f>
        <v/>
      </c>
      <c r="R99" s="20">
        <f>IF(OR(OR(Calc!$B$4=0,$B99&gt;IF(Start!$D$10="Avalanche",Calc!$B$3,Calc!$B$2)),Calc!$B$11=0),"",IF(N(R98)&lt;=0.005,"",IF(Start!$D$10="Avalanche",INDEX(Calc!JU$75:JU$89,Calc!$F$11),INDEX(Calc!JU$50:JU$64,Calc!$D$11))))</f>
        <v/>
      </c>
      <c r="S99" s="20">
        <f>IF(T99="","",N(T98)*(1+Start!$E$20/12)-T99)</f>
        <v/>
      </c>
      <c r="T99" s="20">
        <f>IF(OR(OR(Calc!$B$4=0,$B99&gt;IF(Start!$D$10="Avalanche",Calc!$B$3,Calc!$B$2)),Calc!$B$12=0),"",IF(N(T98)&lt;=0.005,"",IF(Start!$D$10="Avalanche",INDEX(Calc!JU$75:JU$89,Calc!$F$12),INDEX(Calc!JU$50:JU$64,Calc!$D$12))))</f>
        <v/>
      </c>
      <c r="U99" s="20">
        <f>IF(V99="","",N(V98)*(1+Start!$E$21/12)-V99)</f>
        <v/>
      </c>
      <c r="V99" s="20">
        <f>IF(OR(OR(Calc!$B$4=0,$B99&gt;IF(Start!$D$10="Avalanche",Calc!$B$3,Calc!$B$2)),Calc!$B$13=0),"",IF(N(V98)&lt;=0.005,"",IF(Start!$D$10="Avalanche",INDEX(Calc!JU$75:JU$89,Calc!$F$13),INDEX(Calc!JU$50:JU$64,Calc!$D$13))))</f>
        <v/>
      </c>
      <c r="W99" s="20">
        <f>IF(X99="","",N(X98)*(1+Start!$E$22/12)-X99)</f>
        <v/>
      </c>
      <c r="X99" s="20">
        <f>IF(OR(OR(Calc!$B$4=0,$B99&gt;IF(Start!$D$10="Avalanche",Calc!$B$3,Calc!$B$2)),Calc!$B$14=0),"",IF(N(X98)&lt;=0.005,"",IF(Start!$D$10="Avalanche",INDEX(Calc!JU$75:JU$89,Calc!$F$14),INDEX(Calc!JU$50:JU$64,Calc!$D$14))))</f>
        <v/>
      </c>
      <c r="Y99" s="20">
        <f>IF(Z99="","",N(Z98)*(1+Start!$E$23/12)-Z99)</f>
        <v/>
      </c>
      <c r="Z99" s="20">
        <f>IF(OR(OR(Calc!$B$4=0,$B99&gt;IF(Start!$D$10="Avalanche",Calc!$B$3,Calc!$B$2)),Calc!$B$15=0),"",IF(N(Z98)&lt;=0.005,"",IF(Start!$D$10="Avalanche",INDEX(Calc!JU$75:JU$89,Calc!$F$15),INDEX(Calc!JU$50:JU$64,Calc!$D$15))))</f>
        <v/>
      </c>
      <c r="AA99" s="20">
        <f>IF(AB99="","",N(AB98)*(1+Start!$E$24/12)-AB99)</f>
        <v/>
      </c>
      <c r="AB99" s="20">
        <f>IF(OR(OR(Calc!$B$4=0,$B99&gt;IF(Start!$D$10="Avalanche",Calc!$B$3,Calc!$B$2)),Calc!$B$16=0),"",IF(N(AB98)&lt;=0.005,"",IF(Start!$D$10="Avalanche",INDEX(Calc!JU$75:JU$89,Calc!$F$16),INDEX(Calc!JU$50:JU$64,Calc!$D$16))))</f>
        <v/>
      </c>
      <c r="AC99" s="20">
        <f>IF(AD99="","",N(AD98)*(1+Start!$E$25/12)-AD99)</f>
        <v/>
      </c>
      <c r="AD99" s="20">
        <f>IF(OR(OR(Calc!$B$4=0,$B99&gt;IF(Start!$D$10="Avalanche",Calc!$B$3,Calc!$B$2)),Calc!$B$17=0),"",IF(N(AD98)&lt;=0.005,"",IF(Start!$D$10="Avalanche",INDEX(Calc!JU$75:JU$89,Calc!$F$17),INDEX(Calc!JU$50:JU$64,Calc!$D$17))))</f>
        <v/>
      </c>
      <c r="AE99" s="20">
        <f>IF(AF99="","",N(AF98)*(1+Start!$E$26/12)-AF99)</f>
        <v/>
      </c>
      <c r="AF99" s="20">
        <f>IF(OR(OR(Calc!$B$4=0,$B99&gt;IF(Start!$D$10="Avalanche",Calc!$B$3,Calc!$B$2)),Calc!$B$18=0),"",IF(N(AF98)&lt;=0.005,"",IF(Start!$D$10="Avalanche",INDEX(Calc!JU$75:JU$89,Calc!$F$18),INDEX(Calc!JU$50:JU$64,Calc!$D$18))))</f>
        <v/>
      </c>
      <c r="AG99" s="20">
        <f>IF(AH99="","",N(AH98)*(1+Start!$E$27/12)-AH99)</f>
        <v/>
      </c>
      <c r="AH99" s="20">
        <f>IF(OR(OR(Calc!$B$4=0,$B99&gt;IF(Start!$D$10="Avalanche",Calc!$B$3,Calc!$B$2)),Calc!$B$19=0),"",IF(N(AH98)&lt;=0.005,"",IF(Start!$D$10="Avalanche",INDEX(Calc!JU$75:JU$89,Calc!$F$19),INDEX(Calc!JU$50:JU$64,Calc!$D$19))))</f>
        <v/>
      </c>
      <c r="AI99" s="20">
        <f>IF(AJ99="","",N(AJ98)*(1+Start!$E$28/12)-AJ99)</f>
        <v/>
      </c>
      <c r="AJ99" s="20">
        <f>IF(OR(OR(Calc!$B$4=0,$B99&gt;IF(Start!$D$10="Avalanche",Calc!$B$3,Calc!$B$2)),Calc!$B$20=0),"",IF(N(AJ98)&lt;=0.005,"",IF(Start!$D$10="Avalanche",INDEX(Calc!JU$75:JU$89,Calc!$F$20),INDEX(Calc!JU$50:JU$64,Calc!$D$20))))</f>
        <v/>
      </c>
    </row>
    <row r="100">
      <c r="B100" s="17" t="n">
        <v>94</v>
      </c>
      <c r="C100" s="19">
        <f>IF(Calc!$B$4=0,"",EDATE(Start!$D$11,93))</f>
        <v/>
      </c>
      <c r="D100" s="20">
        <f>IF(OR(Calc!$B$4=0,$B100&gt;IF(Start!$D$10="Avalanche",Calc!$B$3,Calc!$B$2)),"",SUM(G100,I100,K100,M100,O100,Q100,S100,U100,W100,Y100,AA100,AC100,AE100,AG100,AI100))</f>
        <v/>
      </c>
      <c r="E100" s="20">
        <f>IF(OR(Calc!$B$4=0,$B100&gt;IF(Start!$D$10="Avalanche",Calc!$B$3,Calc!$B$2)),"",IF(Start!$D$10="Avalanche",Calc!JV$72,Calc!JV$47))</f>
        <v/>
      </c>
      <c r="F100" s="21">
        <f>IF(Calc!$B$4=0,"",IF($B100&gt;IF(Start!$D$10="Avalanche",Calc!$B$3,Calc!$B$2),NA(),SUM(H100,J100,L100,N100,P100,R100,T100,V100,X100,Z100,AB100,AD100,AF100,AH100,AJ100)))</f>
        <v/>
      </c>
      <c r="G100" s="20">
        <f>IF(H100="","",N(H99)*(1+Start!$E$14/12)-H100)</f>
        <v/>
      </c>
      <c r="H100" s="20">
        <f>IF(OR(OR(Calc!$B$4=0,$B100&gt;IF(Start!$D$10="Avalanche",Calc!$B$3,Calc!$B$2)),Calc!$B$6=0),"",IF(N(H99)&lt;=0.005,"",IF(Start!$D$10="Avalanche",INDEX(Calc!JX$75:JX$89,Calc!$F$6),INDEX(Calc!JX$50:JX$64,Calc!$D$6))))</f>
        <v/>
      </c>
      <c r="I100" s="20">
        <f>IF(J100="","",N(J99)*(1+Start!$E$15/12)-J100)</f>
        <v/>
      </c>
      <c r="J100" s="20">
        <f>IF(OR(OR(Calc!$B$4=0,$B100&gt;IF(Start!$D$10="Avalanche",Calc!$B$3,Calc!$B$2)),Calc!$B$7=0),"",IF(N(J99)&lt;=0.005,"",IF(Start!$D$10="Avalanche",INDEX(Calc!JX$75:JX$89,Calc!$F$7),INDEX(Calc!JX$50:JX$64,Calc!$D$7))))</f>
        <v/>
      </c>
      <c r="K100" s="20">
        <f>IF(L100="","",N(L99)*(1+Start!$E$16/12)-L100)</f>
        <v/>
      </c>
      <c r="L100" s="20">
        <f>IF(OR(OR(Calc!$B$4=0,$B100&gt;IF(Start!$D$10="Avalanche",Calc!$B$3,Calc!$B$2)),Calc!$B$8=0),"",IF(N(L99)&lt;=0.005,"",IF(Start!$D$10="Avalanche",INDEX(Calc!JX$75:JX$89,Calc!$F$8),INDEX(Calc!JX$50:JX$64,Calc!$D$8))))</f>
        <v/>
      </c>
      <c r="M100" s="20">
        <f>IF(N100="","",N(N99)*(1+Start!$E$17/12)-N100)</f>
        <v/>
      </c>
      <c r="N100" s="20">
        <f>IF(OR(OR(Calc!$B$4=0,$B100&gt;IF(Start!$D$10="Avalanche",Calc!$B$3,Calc!$B$2)),Calc!$B$9=0),"",IF(N(N99)&lt;=0.005,"",IF(Start!$D$10="Avalanche",INDEX(Calc!JX$75:JX$89,Calc!$F$9),INDEX(Calc!JX$50:JX$64,Calc!$D$9))))</f>
        <v/>
      </c>
      <c r="O100" s="20">
        <f>IF(P100="","",N(P99)*(1+Start!$E$18/12)-P100)</f>
        <v/>
      </c>
      <c r="P100" s="20">
        <f>IF(OR(OR(Calc!$B$4=0,$B100&gt;IF(Start!$D$10="Avalanche",Calc!$B$3,Calc!$B$2)),Calc!$B$10=0),"",IF(N(P99)&lt;=0.005,"",IF(Start!$D$10="Avalanche",INDEX(Calc!JX$75:JX$89,Calc!$F$10),INDEX(Calc!JX$50:JX$64,Calc!$D$10))))</f>
        <v/>
      </c>
      <c r="Q100" s="20">
        <f>IF(R100="","",N(R99)*(1+Start!$E$19/12)-R100)</f>
        <v/>
      </c>
      <c r="R100" s="20">
        <f>IF(OR(OR(Calc!$B$4=0,$B100&gt;IF(Start!$D$10="Avalanche",Calc!$B$3,Calc!$B$2)),Calc!$B$11=0),"",IF(N(R99)&lt;=0.005,"",IF(Start!$D$10="Avalanche",INDEX(Calc!JX$75:JX$89,Calc!$F$11),INDEX(Calc!JX$50:JX$64,Calc!$D$11))))</f>
        <v/>
      </c>
      <c r="S100" s="20">
        <f>IF(T100="","",N(T99)*(1+Start!$E$20/12)-T100)</f>
        <v/>
      </c>
      <c r="T100" s="20">
        <f>IF(OR(OR(Calc!$B$4=0,$B100&gt;IF(Start!$D$10="Avalanche",Calc!$B$3,Calc!$B$2)),Calc!$B$12=0),"",IF(N(T99)&lt;=0.005,"",IF(Start!$D$10="Avalanche",INDEX(Calc!JX$75:JX$89,Calc!$F$12),INDEX(Calc!JX$50:JX$64,Calc!$D$12))))</f>
        <v/>
      </c>
      <c r="U100" s="20">
        <f>IF(V100="","",N(V99)*(1+Start!$E$21/12)-V100)</f>
        <v/>
      </c>
      <c r="V100" s="20">
        <f>IF(OR(OR(Calc!$B$4=0,$B100&gt;IF(Start!$D$10="Avalanche",Calc!$B$3,Calc!$B$2)),Calc!$B$13=0),"",IF(N(V99)&lt;=0.005,"",IF(Start!$D$10="Avalanche",INDEX(Calc!JX$75:JX$89,Calc!$F$13),INDEX(Calc!JX$50:JX$64,Calc!$D$13))))</f>
        <v/>
      </c>
      <c r="W100" s="20">
        <f>IF(X100="","",N(X99)*(1+Start!$E$22/12)-X100)</f>
        <v/>
      </c>
      <c r="X100" s="20">
        <f>IF(OR(OR(Calc!$B$4=0,$B100&gt;IF(Start!$D$10="Avalanche",Calc!$B$3,Calc!$B$2)),Calc!$B$14=0),"",IF(N(X99)&lt;=0.005,"",IF(Start!$D$10="Avalanche",INDEX(Calc!JX$75:JX$89,Calc!$F$14),INDEX(Calc!JX$50:JX$64,Calc!$D$14))))</f>
        <v/>
      </c>
      <c r="Y100" s="20">
        <f>IF(Z100="","",N(Z99)*(1+Start!$E$23/12)-Z100)</f>
        <v/>
      </c>
      <c r="Z100" s="20">
        <f>IF(OR(OR(Calc!$B$4=0,$B100&gt;IF(Start!$D$10="Avalanche",Calc!$B$3,Calc!$B$2)),Calc!$B$15=0),"",IF(N(Z99)&lt;=0.005,"",IF(Start!$D$10="Avalanche",INDEX(Calc!JX$75:JX$89,Calc!$F$15),INDEX(Calc!JX$50:JX$64,Calc!$D$15))))</f>
        <v/>
      </c>
      <c r="AA100" s="20">
        <f>IF(AB100="","",N(AB99)*(1+Start!$E$24/12)-AB100)</f>
        <v/>
      </c>
      <c r="AB100" s="20">
        <f>IF(OR(OR(Calc!$B$4=0,$B100&gt;IF(Start!$D$10="Avalanche",Calc!$B$3,Calc!$B$2)),Calc!$B$16=0),"",IF(N(AB99)&lt;=0.005,"",IF(Start!$D$10="Avalanche",INDEX(Calc!JX$75:JX$89,Calc!$F$16),INDEX(Calc!JX$50:JX$64,Calc!$D$16))))</f>
        <v/>
      </c>
      <c r="AC100" s="20">
        <f>IF(AD100="","",N(AD99)*(1+Start!$E$25/12)-AD100)</f>
        <v/>
      </c>
      <c r="AD100" s="20">
        <f>IF(OR(OR(Calc!$B$4=0,$B100&gt;IF(Start!$D$10="Avalanche",Calc!$B$3,Calc!$B$2)),Calc!$B$17=0),"",IF(N(AD99)&lt;=0.005,"",IF(Start!$D$10="Avalanche",INDEX(Calc!JX$75:JX$89,Calc!$F$17),INDEX(Calc!JX$50:JX$64,Calc!$D$17))))</f>
        <v/>
      </c>
      <c r="AE100" s="20">
        <f>IF(AF100="","",N(AF99)*(1+Start!$E$26/12)-AF100)</f>
        <v/>
      </c>
      <c r="AF100" s="20">
        <f>IF(OR(OR(Calc!$B$4=0,$B100&gt;IF(Start!$D$10="Avalanche",Calc!$B$3,Calc!$B$2)),Calc!$B$18=0),"",IF(N(AF99)&lt;=0.005,"",IF(Start!$D$10="Avalanche",INDEX(Calc!JX$75:JX$89,Calc!$F$18),INDEX(Calc!JX$50:JX$64,Calc!$D$18))))</f>
        <v/>
      </c>
      <c r="AG100" s="20">
        <f>IF(AH100="","",N(AH99)*(1+Start!$E$27/12)-AH100)</f>
        <v/>
      </c>
      <c r="AH100" s="20">
        <f>IF(OR(OR(Calc!$B$4=0,$B100&gt;IF(Start!$D$10="Avalanche",Calc!$B$3,Calc!$B$2)),Calc!$B$19=0),"",IF(N(AH99)&lt;=0.005,"",IF(Start!$D$10="Avalanche",INDEX(Calc!JX$75:JX$89,Calc!$F$19),INDEX(Calc!JX$50:JX$64,Calc!$D$19))))</f>
        <v/>
      </c>
      <c r="AI100" s="20">
        <f>IF(AJ100="","",N(AJ99)*(1+Start!$E$28/12)-AJ100)</f>
        <v/>
      </c>
      <c r="AJ100" s="20">
        <f>IF(OR(OR(Calc!$B$4=0,$B100&gt;IF(Start!$D$10="Avalanche",Calc!$B$3,Calc!$B$2)),Calc!$B$20=0),"",IF(N(AJ99)&lt;=0.005,"",IF(Start!$D$10="Avalanche",INDEX(Calc!JX$75:JX$89,Calc!$F$20),INDEX(Calc!JX$50:JX$64,Calc!$D$20))))</f>
        <v/>
      </c>
    </row>
    <row r="101">
      <c r="B101" s="17" t="n">
        <v>95</v>
      </c>
      <c r="C101" s="19">
        <f>IF(Calc!$B$4=0,"",EDATE(Start!$D$11,94))</f>
        <v/>
      </c>
      <c r="D101" s="20">
        <f>IF(OR(Calc!$B$4=0,$B101&gt;IF(Start!$D$10="Avalanche",Calc!$B$3,Calc!$B$2)),"",SUM(G101,I101,K101,M101,O101,Q101,S101,U101,W101,Y101,AA101,AC101,AE101,AG101,AI101))</f>
        <v/>
      </c>
      <c r="E101" s="20">
        <f>IF(OR(Calc!$B$4=0,$B101&gt;IF(Start!$D$10="Avalanche",Calc!$B$3,Calc!$B$2)),"",IF(Start!$D$10="Avalanche",Calc!JY$72,Calc!JY$47))</f>
        <v/>
      </c>
      <c r="F101" s="21">
        <f>IF(Calc!$B$4=0,"",IF($B101&gt;IF(Start!$D$10="Avalanche",Calc!$B$3,Calc!$B$2),NA(),SUM(H101,J101,L101,N101,P101,R101,T101,V101,X101,Z101,AB101,AD101,AF101,AH101,AJ101)))</f>
        <v/>
      </c>
      <c r="G101" s="20">
        <f>IF(H101="","",N(H100)*(1+Start!$E$14/12)-H101)</f>
        <v/>
      </c>
      <c r="H101" s="20">
        <f>IF(OR(OR(Calc!$B$4=0,$B101&gt;IF(Start!$D$10="Avalanche",Calc!$B$3,Calc!$B$2)),Calc!$B$6=0),"",IF(N(H100)&lt;=0.005,"",IF(Start!$D$10="Avalanche",INDEX(Calc!KA$75:KA$89,Calc!$F$6),INDEX(Calc!KA$50:KA$64,Calc!$D$6))))</f>
        <v/>
      </c>
      <c r="I101" s="20">
        <f>IF(J101="","",N(J100)*(1+Start!$E$15/12)-J101)</f>
        <v/>
      </c>
      <c r="J101" s="20">
        <f>IF(OR(OR(Calc!$B$4=0,$B101&gt;IF(Start!$D$10="Avalanche",Calc!$B$3,Calc!$B$2)),Calc!$B$7=0),"",IF(N(J100)&lt;=0.005,"",IF(Start!$D$10="Avalanche",INDEX(Calc!KA$75:KA$89,Calc!$F$7),INDEX(Calc!KA$50:KA$64,Calc!$D$7))))</f>
        <v/>
      </c>
      <c r="K101" s="20">
        <f>IF(L101="","",N(L100)*(1+Start!$E$16/12)-L101)</f>
        <v/>
      </c>
      <c r="L101" s="20">
        <f>IF(OR(OR(Calc!$B$4=0,$B101&gt;IF(Start!$D$10="Avalanche",Calc!$B$3,Calc!$B$2)),Calc!$B$8=0),"",IF(N(L100)&lt;=0.005,"",IF(Start!$D$10="Avalanche",INDEX(Calc!KA$75:KA$89,Calc!$F$8),INDEX(Calc!KA$50:KA$64,Calc!$D$8))))</f>
        <v/>
      </c>
      <c r="M101" s="20">
        <f>IF(N101="","",N(N100)*(1+Start!$E$17/12)-N101)</f>
        <v/>
      </c>
      <c r="N101" s="20">
        <f>IF(OR(OR(Calc!$B$4=0,$B101&gt;IF(Start!$D$10="Avalanche",Calc!$B$3,Calc!$B$2)),Calc!$B$9=0),"",IF(N(N100)&lt;=0.005,"",IF(Start!$D$10="Avalanche",INDEX(Calc!KA$75:KA$89,Calc!$F$9),INDEX(Calc!KA$50:KA$64,Calc!$D$9))))</f>
        <v/>
      </c>
      <c r="O101" s="20">
        <f>IF(P101="","",N(P100)*(1+Start!$E$18/12)-P101)</f>
        <v/>
      </c>
      <c r="P101" s="20">
        <f>IF(OR(OR(Calc!$B$4=0,$B101&gt;IF(Start!$D$10="Avalanche",Calc!$B$3,Calc!$B$2)),Calc!$B$10=0),"",IF(N(P100)&lt;=0.005,"",IF(Start!$D$10="Avalanche",INDEX(Calc!KA$75:KA$89,Calc!$F$10),INDEX(Calc!KA$50:KA$64,Calc!$D$10))))</f>
        <v/>
      </c>
      <c r="Q101" s="20">
        <f>IF(R101="","",N(R100)*(1+Start!$E$19/12)-R101)</f>
        <v/>
      </c>
      <c r="R101" s="20">
        <f>IF(OR(OR(Calc!$B$4=0,$B101&gt;IF(Start!$D$10="Avalanche",Calc!$B$3,Calc!$B$2)),Calc!$B$11=0),"",IF(N(R100)&lt;=0.005,"",IF(Start!$D$10="Avalanche",INDEX(Calc!KA$75:KA$89,Calc!$F$11),INDEX(Calc!KA$50:KA$64,Calc!$D$11))))</f>
        <v/>
      </c>
      <c r="S101" s="20">
        <f>IF(T101="","",N(T100)*(1+Start!$E$20/12)-T101)</f>
        <v/>
      </c>
      <c r="T101" s="20">
        <f>IF(OR(OR(Calc!$B$4=0,$B101&gt;IF(Start!$D$10="Avalanche",Calc!$B$3,Calc!$B$2)),Calc!$B$12=0),"",IF(N(T100)&lt;=0.005,"",IF(Start!$D$10="Avalanche",INDEX(Calc!KA$75:KA$89,Calc!$F$12),INDEX(Calc!KA$50:KA$64,Calc!$D$12))))</f>
        <v/>
      </c>
      <c r="U101" s="20">
        <f>IF(V101="","",N(V100)*(1+Start!$E$21/12)-V101)</f>
        <v/>
      </c>
      <c r="V101" s="20">
        <f>IF(OR(OR(Calc!$B$4=0,$B101&gt;IF(Start!$D$10="Avalanche",Calc!$B$3,Calc!$B$2)),Calc!$B$13=0),"",IF(N(V100)&lt;=0.005,"",IF(Start!$D$10="Avalanche",INDEX(Calc!KA$75:KA$89,Calc!$F$13),INDEX(Calc!KA$50:KA$64,Calc!$D$13))))</f>
        <v/>
      </c>
      <c r="W101" s="20">
        <f>IF(X101="","",N(X100)*(1+Start!$E$22/12)-X101)</f>
        <v/>
      </c>
      <c r="X101" s="20">
        <f>IF(OR(OR(Calc!$B$4=0,$B101&gt;IF(Start!$D$10="Avalanche",Calc!$B$3,Calc!$B$2)),Calc!$B$14=0),"",IF(N(X100)&lt;=0.005,"",IF(Start!$D$10="Avalanche",INDEX(Calc!KA$75:KA$89,Calc!$F$14),INDEX(Calc!KA$50:KA$64,Calc!$D$14))))</f>
        <v/>
      </c>
      <c r="Y101" s="20">
        <f>IF(Z101="","",N(Z100)*(1+Start!$E$23/12)-Z101)</f>
        <v/>
      </c>
      <c r="Z101" s="20">
        <f>IF(OR(OR(Calc!$B$4=0,$B101&gt;IF(Start!$D$10="Avalanche",Calc!$B$3,Calc!$B$2)),Calc!$B$15=0),"",IF(N(Z100)&lt;=0.005,"",IF(Start!$D$10="Avalanche",INDEX(Calc!KA$75:KA$89,Calc!$F$15),INDEX(Calc!KA$50:KA$64,Calc!$D$15))))</f>
        <v/>
      </c>
      <c r="AA101" s="20">
        <f>IF(AB101="","",N(AB100)*(1+Start!$E$24/12)-AB101)</f>
        <v/>
      </c>
      <c r="AB101" s="20">
        <f>IF(OR(OR(Calc!$B$4=0,$B101&gt;IF(Start!$D$10="Avalanche",Calc!$B$3,Calc!$B$2)),Calc!$B$16=0),"",IF(N(AB100)&lt;=0.005,"",IF(Start!$D$10="Avalanche",INDEX(Calc!KA$75:KA$89,Calc!$F$16),INDEX(Calc!KA$50:KA$64,Calc!$D$16))))</f>
        <v/>
      </c>
      <c r="AC101" s="20">
        <f>IF(AD101="","",N(AD100)*(1+Start!$E$25/12)-AD101)</f>
        <v/>
      </c>
      <c r="AD101" s="20">
        <f>IF(OR(OR(Calc!$B$4=0,$B101&gt;IF(Start!$D$10="Avalanche",Calc!$B$3,Calc!$B$2)),Calc!$B$17=0),"",IF(N(AD100)&lt;=0.005,"",IF(Start!$D$10="Avalanche",INDEX(Calc!KA$75:KA$89,Calc!$F$17),INDEX(Calc!KA$50:KA$64,Calc!$D$17))))</f>
        <v/>
      </c>
      <c r="AE101" s="20">
        <f>IF(AF101="","",N(AF100)*(1+Start!$E$26/12)-AF101)</f>
        <v/>
      </c>
      <c r="AF101" s="20">
        <f>IF(OR(OR(Calc!$B$4=0,$B101&gt;IF(Start!$D$10="Avalanche",Calc!$B$3,Calc!$B$2)),Calc!$B$18=0),"",IF(N(AF100)&lt;=0.005,"",IF(Start!$D$10="Avalanche",INDEX(Calc!KA$75:KA$89,Calc!$F$18),INDEX(Calc!KA$50:KA$64,Calc!$D$18))))</f>
        <v/>
      </c>
      <c r="AG101" s="20">
        <f>IF(AH101="","",N(AH100)*(1+Start!$E$27/12)-AH101)</f>
        <v/>
      </c>
      <c r="AH101" s="20">
        <f>IF(OR(OR(Calc!$B$4=0,$B101&gt;IF(Start!$D$10="Avalanche",Calc!$B$3,Calc!$B$2)),Calc!$B$19=0),"",IF(N(AH100)&lt;=0.005,"",IF(Start!$D$10="Avalanche",INDEX(Calc!KA$75:KA$89,Calc!$F$19),INDEX(Calc!KA$50:KA$64,Calc!$D$19))))</f>
        <v/>
      </c>
      <c r="AI101" s="20">
        <f>IF(AJ101="","",N(AJ100)*(1+Start!$E$28/12)-AJ101)</f>
        <v/>
      </c>
      <c r="AJ101" s="20">
        <f>IF(OR(OR(Calc!$B$4=0,$B101&gt;IF(Start!$D$10="Avalanche",Calc!$B$3,Calc!$B$2)),Calc!$B$20=0),"",IF(N(AJ100)&lt;=0.005,"",IF(Start!$D$10="Avalanche",INDEX(Calc!KA$75:KA$89,Calc!$F$20),INDEX(Calc!KA$50:KA$64,Calc!$D$20))))</f>
        <v/>
      </c>
    </row>
    <row r="102">
      <c r="B102" s="17" t="n">
        <v>96</v>
      </c>
      <c r="C102" s="19">
        <f>IF(Calc!$B$4=0,"",EDATE(Start!$D$11,95))</f>
        <v/>
      </c>
      <c r="D102" s="20">
        <f>IF(OR(Calc!$B$4=0,$B102&gt;IF(Start!$D$10="Avalanche",Calc!$B$3,Calc!$B$2)),"",SUM(G102,I102,K102,M102,O102,Q102,S102,U102,W102,Y102,AA102,AC102,AE102,AG102,AI102))</f>
        <v/>
      </c>
      <c r="E102" s="20">
        <f>IF(OR(Calc!$B$4=0,$B102&gt;IF(Start!$D$10="Avalanche",Calc!$B$3,Calc!$B$2)),"",IF(Start!$D$10="Avalanche",Calc!KB$72,Calc!KB$47))</f>
        <v/>
      </c>
      <c r="F102" s="21">
        <f>IF(Calc!$B$4=0,"",IF($B102&gt;IF(Start!$D$10="Avalanche",Calc!$B$3,Calc!$B$2),NA(),SUM(H102,J102,L102,N102,P102,R102,T102,V102,X102,Z102,AB102,AD102,AF102,AH102,AJ102)))</f>
        <v/>
      </c>
      <c r="G102" s="20">
        <f>IF(H102="","",N(H101)*(1+Start!$E$14/12)-H102)</f>
        <v/>
      </c>
      <c r="H102" s="20">
        <f>IF(OR(OR(Calc!$B$4=0,$B102&gt;IF(Start!$D$10="Avalanche",Calc!$B$3,Calc!$B$2)),Calc!$B$6=0),"",IF(N(H101)&lt;=0.005,"",IF(Start!$D$10="Avalanche",INDEX(Calc!KD$75:KD$89,Calc!$F$6),INDEX(Calc!KD$50:KD$64,Calc!$D$6))))</f>
        <v/>
      </c>
      <c r="I102" s="20">
        <f>IF(J102="","",N(J101)*(1+Start!$E$15/12)-J102)</f>
        <v/>
      </c>
      <c r="J102" s="20">
        <f>IF(OR(OR(Calc!$B$4=0,$B102&gt;IF(Start!$D$10="Avalanche",Calc!$B$3,Calc!$B$2)),Calc!$B$7=0),"",IF(N(J101)&lt;=0.005,"",IF(Start!$D$10="Avalanche",INDEX(Calc!KD$75:KD$89,Calc!$F$7),INDEX(Calc!KD$50:KD$64,Calc!$D$7))))</f>
        <v/>
      </c>
      <c r="K102" s="20">
        <f>IF(L102="","",N(L101)*(1+Start!$E$16/12)-L102)</f>
        <v/>
      </c>
      <c r="L102" s="20">
        <f>IF(OR(OR(Calc!$B$4=0,$B102&gt;IF(Start!$D$10="Avalanche",Calc!$B$3,Calc!$B$2)),Calc!$B$8=0),"",IF(N(L101)&lt;=0.005,"",IF(Start!$D$10="Avalanche",INDEX(Calc!KD$75:KD$89,Calc!$F$8),INDEX(Calc!KD$50:KD$64,Calc!$D$8))))</f>
        <v/>
      </c>
      <c r="M102" s="20">
        <f>IF(N102="","",N(N101)*(1+Start!$E$17/12)-N102)</f>
        <v/>
      </c>
      <c r="N102" s="20">
        <f>IF(OR(OR(Calc!$B$4=0,$B102&gt;IF(Start!$D$10="Avalanche",Calc!$B$3,Calc!$B$2)),Calc!$B$9=0),"",IF(N(N101)&lt;=0.005,"",IF(Start!$D$10="Avalanche",INDEX(Calc!KD$75:KD$89,Calc!$F$9),INDEX(Calc!KD$50:KD$64,Calc!$D$9))))</f>
        <v/>
      </c>
      <c r="O102" s="20">
        <f>IF(P102="","",N(P101)*(1+Start!$E$18/12)-P102)</f>
        <v/>
      </c>
      <c r="P102" s="20">
        <f>IF(OR(OR(Calc!$B$4=0,$B102&gt;IF(Start!$D$10="Avalanche",Calc!$B$3,Calc!$B$2)),Calc!$B$10=0),"",IF(N(P101)&lt;=0.005,"",IF(Start!$D$10="Avalanche",INDEX(Calc!KD$75:KD$89,Calc!$F$10),INDEX(Calc!KD$50:KD$64,Calc!$D$10))))</f>
        <v/>
      </c>
      <c r="Q102" s="20">
        <f>IF(R102="","",N(R101)*(1+Start!$E$19/12)-R102)</f>
        <v/>
      </c>
      <c r="R102" s="20">
        <f>IF(OR(OR(Calc!$B$4=0,$B102&gt;IF(Start!$D$10="Avalanche",Calc!$B$3,Calc!$B$2)),Calc!$B$11=0),"",IF(N(R101)&lt;=0.005,"",IF(Start!$D$10="Avalanche",INDEX(Calc!KD$75:KD$89,Calc!$F$11),INDEX(Calc!KD$50:KD$64,Calc!$D$11))))</f>
        <v/>
      </c>
      <c r="S102" s="20">
        <f>IF(T102="","",N(T101)*(1+Start!$E$20/12)-T102)</f>
        <v/>
      </c>
      <c r="T102" s="20">
        <f>IF(OR(OR(Calc!$B$4=0,$B102&gt;IF(Start!$D$10="Avalanche",Calc!$B$3,Calc!$B$2)),Calc!$B$12=0),"",IF(N(T101)&lt;=0.005,"",IF(Start!$D$10="Avalanche",INDEX(Calc!KD$75:KD$89,Calc!$F$12),INDEX(Calc!KD$50:KD$64,Calc!$D$12))))</f>
        <v/>
      </c>
      <c r="U102" s="20">
        <f>IF(V102="","",N(V101)*(1+Start!$E$21/12)-V102)</f>
        <v/>
      </c>
      <c r="V102" s="20">
        <f>IF(OR(OR(Calc!$B$4=0,$B102&gt;IF(Start!$D$10="Avalanche",Calc!$B$3,Calc!$B$2)),Calc!$B$13=0),"",IF(N(V101)&lt;=0.005,"",IF(Start!$D$10="Avalanche",INDEX(Calc!KD$75:KD$89,Calc!$F$13),INDEX(Calc!KD$50:KD$64,Calc!$D$13))))</f>
        <v/>
      </c>
      <c r="W102" s="20">
        <f>IF(X102="","",N(X101)*(1+Start!$E$22/12)-X102)</f>
        <v/>
      </c>
      <c r="X102" s="20">
        <f>IF(OR(OR(Calc!$B$4=0,$B102&gt;IF(Start!$D$10="Avalanche",Calc!$B$3,Calc!$B$2)),Calc!$B$14=0),"",IF(N(X101)&lt;=0.005,"",IF(Start!$D$10="Avalanche",INDEX(Calc!KD$75:KD$89,Calc!$F$14),INDEX(Calc!KD$50:KD$64,Calc!$D$14))))</f>
        <v/>
      </c>
      <c r="Y102" s="20">
        <f>IF(Z102="","",N(Z101)*(1+Start!$E$23/12)-Z102)</f>
        <v/>
      </c>
      <c r="Z102" s="20">
        <f>IF(OR(OR(Calc!$B$4=0,$B102&gt;IF(Start!$D$10="Avalanche",Calc!$B$3,Calc!$B$2)),Calc!$B$15=0),"",IF(N(Z101)&lt;=0.005,"",IF(Start!$D$10="Avalanche",INDEX(Calc!KD$75:KD$89,Calc!$F$15),INDEX(Calc!KD$50:KD$64,Calc!$D$15))))</f>
        <v/>
      </c>
      <c r="AA102" s="20">
        <f>IF(AB102="","",N(AB101)*(1+Start!$E$24/12)-AB102)</f>
        <v/>
      </c>
      <c r="AB102" s="20">
        <f>IF(OR(OR(Calc!$B$4=0,$B102&gt;IF(Start!$D$10="Avalanche",Calc!$B$3,Calc!$B$2)),Calc!$B$16=0),"",IF(N(AB101)&lt;=0.005,"",IF(Start!$D$10="Avalanche",INDEX(Calc!KD$75:KD$89,Calc!$F$16),INDEX(Calc!KD$50:KD$64,Calc!$D$16))))</f>
        <v/>
      </c>
      <c r="AC102" s="20">
        <f>IF(AD102="","",N(AD101)*(1+Start!$E$25/12)-AD102)</f>
        <v/>
      </c>
      <c r="AD102" s="20">
        <f>IF(OR(OR(Calc!$B$4=0,$B102&gt;IF(Start!$D$10="Avalanche",Calc!$B$3,Calc!$B$2)),Calc!$B$17=0),"",IF(N(AD101)&lt;=0.005,"",IF(Start!$D$10="Avalanche",INDEX(Calc!KD$75:KD$89,Calc!$F$17),INDEX(Calc!KD$50:KD$64,Calc!$D$17))))</f>
        <v/>
      </c>
      <c r="AE102" s="20">
        <f>IF(AF102="","",N(AF101)*(1+Start!$E$26/12)-AF102)</f>
        <v/>
      </c>
      <c r="AF102" s="20">
        <f>IF(OR(OR(Calc!$B$4=0,$B102&gt;IF(Start!$D$10="Avalanche",Calc!$B$3,Calc!$B$2)),Calc!$B$18=0),"",IF(N(AF101)&lt;=0.005,"",IF(Start!$D$10="Avalanche",INDEX(Calc!KD$75:KD$89,Calc!$F$18),INDEX(Calc!KD$50:KD$64,Calc!$D$18))))</f>
        <v/>
      </c>
      <c r="AG102" s="20">
        <f>IF(AH102="","",N(AH101)*(1+Start!$E$27/12)-AH102)</f>
        <v/>
      </c>
      <c r="AH102" s="20">
        <f>IF(OR(OR(Calc!$B$4=0,$B102&gt;IF(Start!$D$10="Avalanche",Calc!$B$3,Calc!$B$2)),Calc!$B$19=0),"",IF(N(AH101)&lt;=0.005,"",IF(Start!$D$10="Avalanche",INDEX(Calc!KD$75:KD$89,Calc!$F$19),INDEX(Calc!KD$50:KD$64,Calc!$D$19))))</f>
        <v/>
      </c>
      <c r="AI102" s="20">
        <f>IF(AJ102="","",N(AJ101)*(1+Start!$E$28/12)-AJ102)</f>
        <v/>
      </c>
      <c r="AJ102" s="20">
        <f>IF(OR(OR(Calc!$B$4=0,$B102&gt;IF(Start!$D$10="Avalanche",Calc!$B$3,Calc!$B$2)),Calc!$B$20=0),"",IF(N(AJ101)&lt;=0.005,"",IF(Start!$D$10="Avalanche",INDEX(Calc!KD$75:KD$89,Calc!$F$20),INDEX(Calc!KD$50:KD$64,Calc!$D$20))))</f>
        <v/>
      </c>
    </row>
    <row r="103">
      <c r="B103" s="17" t="n">
        <v>97</v>
      </c>
      <c r="C103" s="19">
        <f>IF(Calc!$B$4=0,"",EDATE(Start!$D$11,96))</f>
        <v/>
      </c>
      <c r="D103" s="20">
        <f>IF(OR(Calc!$B$4=0,$B103&gt;IF(Start!$D$10="Avalanche",Calc!$B$3,Calc!$B$2)),"",SUM(G103,I103,K103,M103,O103,Q103,S103,U103,W103,Y103,AA103,AC103,AE103,AG103,AI103))</f>
        <v/>
      </c>
      <c r="E103" s="20">
        <f>IF(OR(Calc!$B$4=0,$B103&gt;IF(Start!$D$10="Avalanche",Calc!$B$3,Calc!$B$2)),"",IF(Start!$D$10="Avalanche",Calc!KE$72,Calc!KE$47))</f>
        <v/>
      </c>
      <c r="F103" s="21">
        <f>IF(Calc!$B$4=0,"",IF($B103&gt;IF(Start!$D$10="Avalanche",Calc!$B$3,Calc!$B$2),NA(),SUM(H103,J103,L103,N103,P103,R103,T103,V103,X103,Z103,AB103,AD103,AF103,AH103,AJ103)))</f>
        <v/>
      </c>
      <c r="G103" s="20">
        <f>IF(H103="","",N(H102)*(1+Start!$E$14/12)-H103)</f>
        <v/>
      </c>
      <c r="H103" s="20">
        <f>IF(OR(OR(Calc!$B$4=0,$B103&gt;IF(Start!$D$10="Avalanche",Calc!$B$3,Calc!$B$2)),Calc!$B$6=0),"",IF(N(H102)&lt;=0.005,"",IF(Start!$D$10="Avalanche",INDEX(Calc!KG$75:KG$89,Calc!$F$6),INDEX(Calc!KG$50:KG$64,Calc!$D$6))))</f>
        <v/>
      </c>
      <c r="I103" s="20">
        <f>IF(J103="","",N(J102)*(1+Start!$E$15/12)-J103)</f>
        <v/>
      </c>
      <c r="J103" s="20">
        <f>IF(OR(OR(Calc!$B$4=0,$B103&gt;IF(Start!$D$10="Avalanche",Calc!$B$3,Calc!$B$2)),Calc!$B$7=0),"",IF(N(J102)&lt;=0.005,"",IF(Start!$D$10="Avalanche",INDEX(Calc!KG$75:KG$89,Calc!$F$7),INDEX(Calc!KG$50:KG$64,Calc!$D$7))))</f>
        <v/>
      </c>
      <c r="K103" s="20">
        <f>IF(L103="","",N(L102)*(1+Start!$E$16/12)-L103)</f>
        <v/>
      </c>
      <c r="L103" s="20">
        <f>IF(OR(OR(Calc!$B$4=0,$B103&gt;IF(Start!$D$10="Avalanche",Calc!$B$3,Calc!$B$2)),Calc!$B$8=0),"",IF(N(L102)&lt;=0.005,"",IF(Start!$D$10="Avalanche",INDEX(Calc!KG$75:KG$89,Calc!$F$8),INDEX(Calc!KG$50:KG$64,Calc!$D$8))))</f>
        <v/>
      </c>
      <c r="M103" s="20">
        <f>IF(N103="","",N(N102)*(1+Start!$E$17/12)-N103)</f>
        <v/>
      </c>
      <c r="N103" s="20">
        <f>IF(OR(OR(Calc!$B$4=0,$B103&gt;IF(Start!$D$10="Avalanche",Calc!$B$3,Calc!$B$2)),Calc!$B$9=0),"",IF(N(N102)&lt;=0.005,"",IF(Start!$D$10="Avalanche",INDEX(Calc!KG$75:KG$89,Calc!$F$9),INDEX(Calc!KG$50:KG$64,Calc!$D$9))))</f>
        <v/>
      </c>
      <c r="O103" s="20">
        <f>IF(P103="","",N(P102)*(1+Start!$E$18/12)-P103)</f>
        <v/>
      </c>
      <c r="P103" s="20">
        <f>IF(OR(OR(Calc!$B$4=0,$B103&gt;IF(Start!$D$10="Avalanche",Calc!$B$3,Calc!$B$2)),Calc!$B$10=0),"",IF(N(P102)&lt;=0.005,"",IF(Start!$D$10="Avalanche",INDEX(Calc!KG$75:KG$89,Calc!$F$10),INDEX(Calc!KG$50:KG$64,Calc!$D$10))))</f>
        <v/>
      </c>
      <c r="Q103" s="20">
        <f>IF(R103="","",N(R102)*(1+Start!$E$19/12)-R103)</f>
        <v/>
      </c>
      <c r="R103" s="20">
        <f>IF(OR(OR(Calc!$B$4=0,$B103&gt;IF(Start!$D$10="Avalanche",Calc!$B$3,Calc!$B$2)),Calc!$B$11=0),"",IF(N(R102)&lt;=0.005,"",IF(Start!$D$10="Avalanche",INDEX(Calc!KG$75:KG$89,Calc!$F$11),INDEX(Calc!KG$50:KG$64,Calc!$D$11))))</f>
        <v/>
      </c>
      <c r="S103" s="20">
        <f>IF(T103="","",N(T102)*(1+Start!$E$20/12)-T103)</f>
        <v/>
      </c>
      <c r="T103" s="20">
        <f>IF(OR(OR(Calc!$B$4=0,$B103&gt;IF(Start!$D$10="Avalanche",Calc!$B$3,Calc!$B$2)),Calc!$B$12=0),"",IF(N(T102)&lt;=0.005,"",IF(Start!$D$10="Avalanche",INDEX(Calc!KG$75:KG$89,Calc!$F$12),INDEX(Calc!KG$50:KG$64,Calc!$D$12))))</f>
        <v/>
      </c>
      <c r="U103" s="20">
        <f>IF(V103="","",N(V102)*(1+Start!$E$21/12)-V103)</f>
        <v/>
      </c>
      <c r="V103" s="20">
        <f>IF(OR(OR(Calc!$B$4=0,$B103&gt;IF(Start!$D$10="Avalanche",Calc!$B$3,Calc!$B$2)),Calc!$B$13=0),"",IF(N(V102)&lt;=0.005,"",IF(Start!$D$10="Avalanche",INDEX(Calc!KG$75:KG$89,Calc!$F$13),INDEX(Calc!KG$50:KG$64,Calc!$D$13))))</f>
        <v/>
      </c>
      <c r="W103" s="20">
        <f>IF(X103="","",N(X102)*(1+Start!$E$22/12)-X103)</f>
        <v/>
      </c>
      <c r="X103" s="20">
        <f>IF(OR(OR(Calc!$B$4=0,$B103&gt;IF(Start!$D$10="Avalanche",Calc!$B$3,Calc!$B$2)),Calc!$B$14=0),"",IF(N(X102)&lt;=0.005,"",IF(Start!$D$10="Avalanche",INDEX(Calc!KG$75:KG$89,Calc!$F$14),INDEX(Calc!KG$50:KG$64,Calc!$D$14))))</f>
        <v/>
      </c>
      <c r="Y103" s="20">
        <f>IF(Z103="","",N(Z102)*(1+Start!$E$23/12)-Z103)</f>
        <v/>
      </c>
      <c r="Z103" s="20">
        <f>IF(OR(OR(Calc!$B$4=0,$B103&gt;IF(Start!$D$10="Avalanche",Calc!$B$3,Calc!$B$2)),Calc!$B$15=0),"",IF(N(Z102)&lt;=0.005,"",IF(Start!$D$10="Avalanche",INDEX(Calc!KG$75:KG$89,Calc!$F$15),INDEX(Calc!KG$50:KG$64,Calc!$D$15))))</f>
        <v/>
      </c>
      <c r="AA103" s="20">
        <f>IF(AB103="","",N(AB102)*(1+Start!$E$24/12)-AB103)</f>
        <v/>
      </c>
      <c r="AB103" s="20">
        <f>IF(OR(OR(Calc!$B$4=0,$B103&gt;IF(Start!$D$10="Avalanche",Calc!$B$3,Calc!$B$2)),Calc!$B$16=0),"",IF(N(AB102)&lt;=0.005,"",IF(Start!$D$10="Avalanche",INDEX(Calc!KG$75:KG$89,Calc!$F$16),INDEX(Calc!KG$50:KG$64,Calc!$D$16))))</f>
        <v/>
      </c>
      <c r="AC103" s="20">
        <f>IF(AD103="","",N(AD102)*(1+Start!$E$25/12)-AD103)</f>
        <v/>
      </c>
      <c r="AD103" s="20">
        <f>IF(OR(OR(Calc!$B$4=0,$B103&gt;IF(Start!$D$10="Avalanche",Calc!$B$3,Calc!$B$2)),Calc!$B$17=0),"",IF(N(AD102)&lt;=0.005,"",IF(Start!$D$10="Avalanche",INDEX(Calc!KG$75:KG$89,Calc!$F$17),INDEX(Calc!KG$50:KG$64,Calc!$D$17))))</f>
        <v/>
      </c>
      <c r="AE103" s="20">
        <f>IF(AF103="","",N(AF102)*(1+Start!$E$26/12)-AF103)</f>
        <v/>
      </c>
      <c r="AF103" s="20">
        <f>IF(OR(OR(Calc!$B$4=0,$B103&gt;IF(Start!$D$10="Avalanche",Calc!$B$3,Calc!$B$2)),Calc!$B$18=0),"",IF(N(AF102)&lt;=0.005,"",IF(Start!$D$10="Avalanche",INDEX(Calc!KG$75:KG$89,Calc!$F$18),INDEX(Calc!KG$50:KG$64,Calc!$D$18))))</f>
        <v/>
      </c>
      <c r="AG103" s="20">
        <f>IF(AH103="","",N(AH102)*(1+Start!$E$27/12)-AH103)</f>
        <v/>
      </c>
      <c r="AH103" s="20">
        <f>IF(OR(OR(Calc!$B$4=0,$B103&gt;IF(Start!$D$10="Avalanche",Calc!$B$3,Calc!$B$2)),Calc!$B$19=0),"",IF(N(AH102)&lt;=0.005,"",IF(Start!$D$10="Avalanche",INDEX(Calc!KG$75:KG$89,Calc!$F$19),INDEX(Calc!KG$50:KG$64,Calc!$D$19))))</f>
        <v/>
      </c>
      <c r="AI103" s="20">
        <f>IF(AJ103="","",N(AJ102)*(1+Start!$E$28/12)-AJ103)</f>
        <v/>
      </c>
      <c r="AJ103" s="20">
        <f>IF(OR(OR(Calc!$B$4=0,$B103&gt;IF(Start!$D$10="Avalanche",Calc!$B$3,Calc!$B$2)),Calc!$B$20=0),"",IF(N(AJ102)&lt;=0.005,"",IF(Start!$D$10="Avalanche",INDEX(Calc!KG$75:KG$89,Calc!$F$20),INDEX(Calc!KG$50:KG$64,Calc!$D$20))))</f>
        <v/>
      </c>
    </row>
    <row r="104">
      <c r="B104" s="17" t="n">
        <v>98</v>
      </c>
      <c r="C104" s="19">
        <f>IF(Calc!$B$4=0,"",EDATE(Start!$D$11,97))</f>
        <v/>
      </c>
      <c r="D104" s="20">
        <f>IF(OR(Calc!$B$4=0,$B104&gt;IF(Start!$D$10="Avalanche",Calc!$B$3,Calc!$B$2)),"",SUM(G104,I104,K104,M104,O104,Q104,S104,U104,W104,Y104,AA104,AC104,AE104,AG104,AI104))</f>
        <v/>
      </c>
      <c r="E104" s="20">
        <f>IF(OR(Calc!$B$4=0,$B104&gt;IF(Start!$D$10="Avalanche",Calc!$B$3,Calc!$B$2)),"",IF(Start!$D$10="Avalanche",Calc!KH$72,Calc!KH$47))</f>
        <v/>
      </c>
      <c r="F104" s="21">
        <f>IF(Calc!$B$4=0,"",IF($B104&gt;IF(Start!$D$10="Avalanche",Calc!$B$3,Calc!$B$2),NA(),SUM(H104,J104,L104,N104,P104,R104,T104,V104,X104,Z104,AB104,AD104,AF104,AH104,AJ104)))</f>
        <v/>
      </c>
      <c r="G104" s="20">
        <f>IF(H104="","",N(H103)*(1+Start!$E$14/12)-H104)</f>
        <v/>
      </c>
      <c r="H104" s="20">
        <f>IF(OR(OR(Calc!$B$4=0,$B104&gt;IF(Start!$D$10="Avalanche",Calc!$B$3,Calc!$B$2)),Calc!$B$6=0),"",IF(N(H103)&lt;=0.005,"",IF(Start!$D$10="Avalanche",INDEX(Calc!KJ$75:KJ$89,Calc!$F$6),INDEX(Calc!KJ$50:KJ$64,Calc!$D$6))))</f>
        <v/>
      </c>
      <c r="I104" s="20">
        <f>IF(J104="","",N(J103)*(1+Start!$E$15/12)-J104)</f>
        <v/>
      </c>
      <c r="J104" s="20">
        <f>IF(OR(OR(Calc!$B$4=0,$B104&gt;IF(Start!$D$10="Avalanche",Calc!$B$3,Calc!$B$2)),Calc!$B$7=0),"",IF(N(J103)&lt;=0.005,"",IF(Start!$D$10="Avalanche",INDEX(Calc!KJ$75:KJ$89,Calc!$F$7),INDEX(Calc!KJ$50:KJ$64,Calc!$D$7))))</f>
        <v/>
      </c>
      <c r="K104" s="20">
        <f>IF(L104="","",N(L103)*(1+Start!$E$16/12)-L104)</f>
        <v/>
      </c>
      <c r="L104" s="20">
        <f>IF(OR(OR(Calc!$B$4=0,$B104&gt;IF(Start!$D$10="Avalanche",Calc!$B$3,Calc!$B$2)),Calc!$B$8=0),"",IF(N(L103)&lt;=0.005,"",IF(Start!$D$10="Avalanche",INDEX(Calc!KJ$75:KJ$89,Calc!$F$8),INDEX(Calc!KJ$50:KJ$64,Calc!$D$8))))</f>
        <v/>
      </c>
      <c r="M104" s="20">
        <f>IF(N104="","",N(N103)*(1+Start!$E$17/12)-N104)</f>
        <v/>
      </c>
      <c r="N104" s="20">
        <f>IF(OR(OR(Calc!$B$4=0,$B104&gt;IF(Start!$D$10="Avalanche",Calc!$B$3,Calc!$B$2)),Calc!$B$9=0),"",IF(N(N103)&lt;=0.005,"",IF(Start!$D$10="Avalanche",INDEX(Calc!KJ$75:KJ$89,Calc!$F$9),INDEX(Calc!KJ$50:KJ$64,Calc!$D$9))))</f>
        <v/>
      </c>
      <c r="O104" s="20">
        <f>IF(P104="","",N(P103)*(1+Start!$E$18/12)-P104)</f>
        <v/>
      </c>
      <c r="P104" s="20">
        <f>IF(OR(OR(Calc!$B$4=0,$B104&gt;IF(Start!$D$10="Avalanche",Calc!$B$3,Calc!$B$2)),Calc!$B$10=0),"",IF(N(P103)&lt;=0.005,"",IF(Start!$D$10="Avalanche",INDEX(Calc!KJ$75:KJ$89,Calc!$F$10),INDEX(Calc!KJ$50:KJ$64,Calc!$D$10))))</f>
        <v/>
      </c>
      <c r="Q104" s="20">
        <f>IF(R104="","",N(R103)*(1+Start!$E$19/12)-R104)</f>
        <v/>
      </c>
      <c r="R104" s="20">
        <f>IF(OR(OR(Calc!$B$4=0,$B104&gt;IF(Start!$D$10="Avalanche",Calc!$B$3,Calc!$B$2)),Calc!$B$11=0),"",IF(N(R103)&lt;=0.005,"",IF(Start!$D$10="Avalanche",INDEX(Calc!KJ$75:KJ$89,Calc!$F$11),INDEX(Calc!KJ$50:KJ$64,Calc!$D$11))))</f>
        <v/>
      </c>
      <c r="S104" s="20">
        <f>IF(T104="","",N(T103)*(1+Start!$E$20/12)-T104)</f>
        <v/>
      </c>
      <c r="T104" s="20">
        <f>IF(OR(OR(Calc!$B$4=0,$B104&gt;IF(Start!$D$10="Avalanche",Calc!$B$3,Calc!$B$2)),Calc!$B$12=0),"",IF(N(T103)&lt;=0.005,"",IF(Start!$D$10="Avalanche",INDEX(Calc!KJ$75:KJ$89,Calc!$F$12),INDEX(Calc!KJ$50:KJ$64,Calc!$D$12))))</f>
        <v/>
      </c>
      <c r="U104" s="20">
        <f>IF(V104="","",N(V103)*(1+Start!$E$21/12)-V104)</f>
        <v/>
      </c>
      <c r="V104" s="20">
        <f>IF(OR(OR(Calc!$B$4=0,$B104&gt;IF(Start!$D$10="Avalanche",Calc!$B$3,Calc!$B$2)),Calc!$B$13=0),"",IF(N(V103)&lt;=0.005,"",IF(Start!$D$10="Avalanche",INDEX(Calc!KJ$75:KJ$89,Calc!$F$13),INDEX(Calc!KJ$50:KJ$64,Calc!$D$13))))</f>
        <v/>
      </c>
      <c r="W104" s="20">
        <f>IF(X104="","",N(X103)*(1+Start!$E$22/12)-X104)</f>
        <v/>
      </c>
      <c r="X104" s="20">
        <f>IF(OR(OR(Calc!$B$4=0,$B104&gt;IF(Start!$D$10="Avalanche",Calc!$B$3,Calc!$B$2)),Calc!$B$14=0),"",IF(N(X103)&lt;=0.005,"",IF(Start!$D$10="Avalanche",INDEX(Calc!KJ$75:KJ$89,Calc!$F$14),INDEX(Calc!KJ$50:KJ$64,Calc!$D$14))))</f>
        <v/>
      </c>
      <c r="Y104" s="20">
        <f>IF(Z104="","",N(Z103)*(1+Start!$E$23/12)-Z104)</f>
        <v/>
      </c>
      <c r="Z104" s="20">
        <f>IF(OR(OR(Calc!$B$4=0,$B104&gt;IF(Start!$D$10="Avalanche",Calc!$B$3,Calc!$B$2)),Calc!$B$15=0),"",IF(N(Z103)&lt;=0.005,"",IF(Start!$D$10="Avalanche",INDEX(Calc!KJ$75:KJ$89,Calc!$F$15),INDEX(Calc!KJ$50:KJ$64,Calc!$D$15))))</f>
        <v/>
      </c>
      <c r="AA104" s="20">
        <f>IF(AB104="","",N(AB103)*(1+Start!$E$24/12)-AB104)</f>
        <v/>
      </c>
      <c r="AB104" s="20">
        <f>IF(OR(OR(Calc!$B$4=0,$B104&gt;IF(Start!$D$10="Avalanche",Calc!$B$3,Calc!$B$2)),Calc!$B$16=0),"",IF(N(AB103)&lt;=0.005,"",IF(Start!$D$10="Avalanche",INDEX(Calc!KJ$75:KJ$89,Calc!$F$16),INDEX(Calc!KJ$50:KJ$64,Calc!$D$16))))</f>
        <v/>
      </c>
      <c r="AC104" s="20">
        <f>IF(AD104="","",N(AD103)*(1+Start!$E$25/12)-AD104)</f>
        <v/>
      </c>
      <c r="AD104" s="20">
        <f>IF(OR(OR(Calc!$B$4=0,$B104&gt;IF(Start!$D$10="Avalanche",Calc!$B$3,Calc!$B$2)),Calc!$B$17=0),"",IF(N(AD103)&lt;=0.005,"",IF(Start!$D$10="Avalanche",INDEX(Calc!KJ$75:KJ$89,Calc!$F$17),INDEX(Calc!KJ$50:KJ$64,Calc!$D$17))))</f>
        <v/>
      </c>
      <c r="AE104" s="20">
        <f>IF(AF104="","",N(AF103)*(1+Start!$E$26/12)-AF104)</f>
        <v/>
      </c>
      <c r="AF104" s="20">
        <f>IF(OR(OR(Calc!$B$4=0,$B104&gt;IF(Start!$D$10="Avalanche",Calc!$B$3,Calc!$B$2)),Calc!$B$18=0),"",IF(N(AF103)&lt;=0.005,"",IF(Start!$D$10="Avalanche",INDEX(Calc!KJ$75:KJ$89,Calc!$F$18),INDEX(Calc!KJ$50:KJ$64,Calc!$D$18))))</f>
        <v/>
      </c>
      <c r="AG104" s="20">
        <f>IF(AH104="","",N(AH103)*(1+Start!$E$27/12)-AH104)</f>
        <v/>
      </c>
      <c r="AH104" s="20">
        <f>IF(OR(OR(Calc!$B$4=0,$B104&gt;IF(Start!$D$10="Avalanche",Calc!$B$3,Calc!$B$2)),Calc!$B$19=0),"",IF(N(AH103)&lt;=0.005,"",IF(Start!$D$10="Avalanche",INDEX(Calc!KJ$75:KJ$89,Calc!$F$19),INDEX(Calc!KJ$50:KJ$64,Calc!$D$19))))</f>
        <v/>
      </c>
      <c r="AI104" s="20">
        <f>IF(AJ104="","",N(AJ103)*(1+Start!$E$28/12)-AJ104)</f>
        <v/>
      </c>
      <c r="AJ104" s="20">
        <f>IF(OR(OR(Calc!$B$4=0,$B104&gt;IF(Start!$D$10="Avalanche",Calc!$B$3,Calc!$B$2)),Calc!$B$20=0),"",IF(N(AJ103)&lt;=0.005,"",IF(Start!$D$10="Avalanche",INDEX(Calc!KJ$75:KJ$89,Calc!$F$20),INDEX(Calc!KJ$50:KJ$64,Calc!$D$20))))</f>
        <v/>
      </c>
    </row>
    <row r="105">
      <c r="B105" s="17" t="n">
        <v>99</v>
      </c>
      <c r="C105" s="19">
        <f>IF(Calc!$B$4=0,"",EDATE(Start!$D$11,98))</f>
        <v/>
      </c>
      <c r="D105" s="20">
        <f>IF(OR(Calc!$B$4=0,$B105&gt;IF(Start!$D$10="Avalanche",Calc!$B$3,Calc!$B$2)),"",SUM(G105,I105,K105,M105,O105,Q105,S105,U105,W105,Y105,AA105,AC105,AE105,AG105,AI105))</f>
        <v/>
      </c>
      <c r="E105" s="20">
        <f>IF(OR(Calc!$B$4=0,$B105&gt;IF(Start!$D$10="Avalanche",Calc!$B$3,Calc!$B$2)),"",IF(Start!$D$10="Avalanche",Calc!KK$72,Calc!KK$47))</f>
        <v/>
      </c>
      <c r="F105" s="21">
        <f>IF(Calc!$B$4=0,"",IF($B105&gt;IF(Start!$D$10="Avalanche",Calc!$B$3,Calc!$B$2),NA(),SUM(H105,J105,L105,N105,P105,R105,T105,V105,X105,Z105,AB105,AD105,AF105,AH105,AJ105)))</f>
        <v/>
      </c>
      <c r="G105" s="20">
        <f>IF(H105="","",N(H104)*(1+Start!$E$14/12)-H105)</f>
        <v/>
      </c>
      <c r="H105" s="20">
        <f>IF(OR(OR(Calc!$B$4=0,$B105&gt;IF(Start!$D$10="Avalanche",Calc!$B$3,Calc!$B$2)),Calc!$B$6=0),"",IF(N(H104)&lt;=0.005,"",IF(Start!$D$10="Avalanche",INDEX(Calc!KM$75:KM$89,Calc!$F$6),INDEX(Calc!KM$50:KM$64,Calc!$D$6))))</f>
        <v/>
      </c>
      <c r="I105" s="20">
        <f>IF(J105="","",N(J104)*(1+Start!$E$15/12)-J105)</f>
        <v/>
      </c>
      <c r="J105" s="20">
        <f>IF(OR(OR(Calc!$B$4=0,$B105&gt;IF(Start!$D$10="Avalanche",Calc!$B$3,Calc!$B$2)),Calc!$B$7=0),"",IF(N(J104)&lt;=0.005,"",IF(Start!$D$10="Avalanche",INDEX(Calc!KM$75:KM$89,Calc!$F$7),INDEX(Calc!KM$50:KM$64,Calc!$D$7))))</f>
        <v/>
      </c>
      <c r="K105" s="20">
        <f>IF(L105="","",N(L104)*(1+Start!$E$16/12)-L105)</f>
        <v/>
      </c>
      <c r="L105" s="20">
        <f>IF(OR(OR(Calc!$B$4=0,$B105&gt;IF(Start!$D$10="Avalanche",Calc!$B$3,Calc!$B$2)),Calc!$B$8=0),"",IF(N(L104)&lt;=0.005,"",IF(Start!$D$10="Avalanche",INDEX(Calc!KM$75:KM$89,Calc!$F$8),INDEX(Calc!KM$50:KM$64,Calc!$D$8))))</f>
        <v/>
      </c>
      <c r="M105" s="20">
        <f>IF(N105="","",N(N104)*(1+Start!$E$17/12)-N105)</f>
        <v/>
      </c>
      <c r="N105" s="20">
        <f>IF(OR(OR(Calc!$B$4=0,$B105&gt;IF(Start!$D$10="Avalanche",Calc!$B$3,Calc!$B$2)),Calc!$B$9=0),"",IF(N(N104)&lt;=0.005,"",IF(Start!$D$10="Avalanche",INDEX(Calc!KM$75:KM$89,Calc!$F$9),INDEX(Calc!KM$50:KM$64,Calc!$D$9))))</f>
        <v/>
      </c>
      <c r="O105" s="20">
        <f>IF(P105="","",N(P104)*(1+Start!$E$18/12)-P105)</f>
        <v/>
      </c>
      <c r="P105" s="20">
        <f>IF(OR(OR(Calc!$B$4=0,$B105&gt;IF(Start!$D$10="Avalanche",Calc!$B$3,Calc!$B$2)),Calc!$B$10=0),"",IF(N(P104)&lt;=0.005,"",IF(Start!$D$10="Avalanche",INDEX(Calc!KM$75:KM$89,Calc!$F$10),INDEX(Calc!KM$50:KM$64,Calc!$D$10))))</f>
        <v/>
      </c>
      <c r="Q105" s="20">
        <f>IF(R105="","",N(R104)*(1+Start!$E$19/12)-R105)</f>
        <v/>
      </c>
      <c r="R105" s="20">
        <f>IF(OR(OR(Calc!$B$4=0,$B105&gt;IF(Start!$D$10="Avalanche",Calc!$B$3,Calc!$B$2)),Calc!$B$11=0),"",IF(N(R104)&lt;=0.005,"",IF(Start!$D$10="Avalanche",INDEX(Calc!KM$75:KM$89,Calc!$F$11),INDEX(Calc!KM$50:KM$64,Calc!$D$11))))</f>
        <v/>
      </c>
      <c r="S105" s="20">
        <f>IF(T105="","",N(T104)*(1+Start!$E$20/12)-T105)</f>
        <v/>
      </c>
      <c r="T105" s="20">
        <f>IF(OR(OR(Calc!$B$4=0,$B105&gt;IF(Start!$D$10="Avalanche",Calc!$B$3,Calc!$B$2)),Calc!$B$12=0),"",IF(N(T104)&lt;=0.005,"",IF(Start!$D$10="Avalanche",INDEX(Calc!KM$75:KM$89,Calc!$F$12),INDEX(Calc!KM$50:KM$64,Calc!$D$12))))</f>
        <v/>
      </c>
      <c r="U105" s="20">
        <f>IF(V105="","",N(V104)*(1+Start!$E$21/12)-V105)</f>
        <v/>
      </c>
      <c r="V105" s="20">
        <f>IF(OR(OR(Calc!$B$4=0,$B105&gt;IF(Start!$D$10="Avalanche",Calc!$B$3,Calc!$B$2)),Calc!$B$13=0),"",IF(N(V104)&lt;=0.005,"",IF(Start!$D$10="Avalanche",INDEX(Calc!KM$75:KM$89,Calc!$F$13),INDEX(Calc!KM$50:KM$64,Calc!$D$13))))</f>
        <v/>
      </c>
      <c r="W105" s="20">
        <f>IF(X105="","",N(X104)*(1+Start!$E$22/12)-X105)</f>
        <v/>
      </c>
      <c r="X105" s="20">
        <f>IF(OR(OR(Calc!$B$4=0,$B105&gt;IF(Start!$D$10="Avalanche",Calc!$B$3,Calc!$B$2)),Calc!$B$14=0),"",IF(N(X104)&lt;=0.005,"",IF(Start!$D$10="Avalanche",INDEX(Calc!KM$75:KM$89,Calc!$F$14),INDEX(Calc!KM$50:KM$64,Calc!$D$14))))</f>
        <v/>
      </c>
      <c r="Y105" s="20">
        <f>IF(Z105="","",N(Z104)*(1+Start!$E$23/12)-Z105)</f>
        <v/>
      </c>
      <c r="Z105" s="20">
        <f>IF(OR(OR(Calc!$B$4=0,$B105&gt;IF(Start!$D$10="Avalanche",Calc!$B$3,Calc!$B$2)),Calc!$B$15=0),"",IF(N(Z104)&lt;=0.005,"",IF(Start!$D$10="Avalanche",INDEX(Calc!KM$75:KM$89,Calc!$F$15),INDEX(Calc!KM$50:KM$64,Calc!$D$15))))</f>
        <v/>
      </c>
      <c r="AA105" s="20">
        <f>IF(AB105="","",N(AB104)*(1+Start!$E$24/12)-AB105)</f>
        <v/>
      </c>
      <c r="AB105" s="20">
        <f>IF(OR(OR(Calc!$B$4=0,$B105&gt;IF(Start!$D$10="Avalanche",Calc!$B$3,Calc!$B$2)),Calc!$B$16=0),"",IF(N(AB104)&lt;=0.005,"",IF(Start!$D$10="Avalanche",INDEX(Calc!KM$75:KM$89,Calc!$F$16),INDEX(Calc!KM$50:KM$64,Calc!$D$16))))</f>
        <v/>
      </c>
      <c r="AC105" s="20">
        <f>IF(AD105="","",N(AD104)*(1+Start!$E$25/12)-AD105)</f>
        <v/>
      </c>
      <c r="AD105" s="20">
        <f>IF(OR(OR(Calc!$B$4=0,$B105&gt;IF(Start!$D$10="Avalanche",Calc!$B$3,Calc!$B$2)),Calc!$B$17=0),"",IF(N(AD104)&lt;=0.005,"",IF(Start!$D$10="Avalanche",INDEX(Calc!KM$75:KM$89,Calc!$F$17),INDEX(Calc!KM$50:KM$64,Calc!$D$17))))</f>
        <v/>
      </c>
      <c r="AE105" s="20">
        <f>IF(AF105="","",N(AF104)*(1+Start!$E$26/12)-AF105)</f>
        <v/>
      </c>
      <c r="AF105" s="20">
        <f>IF(OR(OR(Calc!$B$4=0,$B105&gt;IF(Start!$D$10="Avalanche",Calc!$B$3,Calc!$B$2)),Calc!$B$18=0),"",IF(N(AF104)&lt;=0.005,"",IF(Start!$D$10="Avalanche",INDEX(Calc!KM$75:KM$89,Calc!$F$18),INDEX(Calc!KM$50:KM$64,Calc!$D$18))))</f>
        <v/>
      </c>
      <c r="AG105" s="20">
        <f>IF(AH105="","",N(AH104)*(1+Start!$E$27/12)-AH105)</f>
        <v/>
      </c>
      <c r="AH105" s="20">
        <f>IF(OR(OR(Calc!$B$4=0,$B105&gt;IF(Start!$D$10="Avalanche",Calc!$B$3,Calc!$B$2)),Calc!$B$19=0),"",IF(N(AH104)&lt;=0.005,"",IF(Start!$D$10="Avalanche",INDEX(Calc!KM$75:KM$89,Calc!$F$19),INDEX(Calc!KM$50:KM$64,Calc!$D$19))))</f>
        <v/>
      </c>
      <c r="AI105" s="20">
        <f>IF(AJ105="","",N(AJ104)*(1+Start!$E$28/12)-AJ105)</f>
        <v/>
      </c>
      <c r="AJ105" s="20">
        <f>IF(OR(OR(Calc!$B$4=0,$B105&gt;IF(Start!$D$10="Avalanche",Calc!$B$3,Calc!$B$2)),Calc!$B$20=0),"",IF(N(AJ104)&lt;=0.005,"",IF(Start!$D$10="Avalanche",INDEX(Calc!KM$75:KM$89,Calc!$F$20),INDEX(Calc!KM$50:KM$64,Calc!$D$20))))</f>
        <v/>
      </c>
    </row>
    <row r="106">
      <c r="B106" s="17" t="n">
        <v>100</v>
      </c>
      <c r="C106" s="19">
        <f>IF(Calc!$B$4=0,"",EDATE(Start!$D$11,99))</f>
        <v/>
      </c>
      <c r="D106" s="20">
        <f>IF(OR(Calc!$B$4=0,$B106&gt;IF(Start!$D$10="Avalanche",Calc!$B$3,Calc!$B$2)),"",SUM(G106,I106,K106,M106,O106,Q106,S106,U106,W106,Y106,AA106,AC106,AE106,AG106,AI106))</f>
        <v/>
      </c>
      <c r="E106" s="20">
        <f>IF(OR(Calc!$B$4=0,$B106&gt;IF(Start!$D$10="Avalanche",Calc!$B$3,Calc!$B$2)),"",IF(Start!$D$10="Avalanche",Calc!KN$72,Calc!KN$47))</f>
        <v/>
      </c>
      <c r="F106" s="21">
        <f>IF(Calc!$B$4=0,"",IF($B106&gt;IF(Start!$D$10="Avalanche",Calc!$B$3,Calc!$B$2),NA(),SUM(H106,J106,L106,N106,P106,R106,T106,V106,X106,Z106,AB106,AD106,AF106,AH106,AJ106)))</f>
        <v/>
      </c>
      <c r="G106" s="20">
        <f>IF(H106="","",N(H105)*(1+Start!$E$14/12)-H106)</f>
        <v/>
      </c>
      <c r="H106" s="20">
        <f>IF(OR(OR(Calc!$B$4=0,$B106&gt;IF(Start!$D$10="Avalanche",Calc!$B$3,Calc!$B$2)),Calc!$B$6=0),"",IF(N(H105)&lt;=0.005,"",IF(Start!$D$10="Avalanche",INDEX(Calc!KP$75:KP$89,Calc!$F$6),INDEX(Calc!KP$50:KP$64,Calc!$D$6))))</f>
        <v/>
      </c>
      <c r="I106" s="20">
        <f>IF(J106="","",N(J105)*(1+Start!$E$15/12)-J106)</f>
        <v/>
      </c>
      <c r="J106" s="20">
        <f>IF(OR(OR(Calc!$B$4=0,$B106&gt;IF(Start!$D$10="Avalanche",Calc!$B$3,Calc!$B$2)),Calc!$B$7=0),"",IF(N(J105)&lt;=0.005,"",IF(Start!$D$10="Avalanche",INDEX(Calc!KP$75:KP$89,Calc!$F$7),INDEX(Calc!KP$50:KP$64,Calc!$D$7))))</f>
        <v/>
      </c>
      <c r="K106" s="20">
        <f>IF(L106="","",N(L105)*(1+Start!$E$16/12)-L106)</f>
        <v/>
      </c>
      <c r="L106" s="20">
        <f>IF(OR(OR(Calc!$B$4=0,$B106&gt;IF(Start!$D$10="Avalanche",Calc!$B$3,Calc!$B$2)),Calc!$B$8=0),"",IF(N(L105)&lt;=0.005,"",IF(Start!$D$10="Avalanche",INDEX(Calc!KP$75:KP$89,Calc!$F$8),INDEX(Calc!KP$50:KP$64,Calc!$D$8))))</f>
        <v/>
      </c>
      <c r="M106" s="20">
        <f>IF(N106="","",N(N105)*(1+Start!$E$17/12)-N106)</f>
        <v/>
      </c>
      <c r="N106" s="20">
        <f>IF(OR(OR(Calc!$B$4=0,$B106&gt;IF(Start!$D$10="Avalanche",Calc!$B$3,Calc!$B$2)),Calc!$B$9=0),"",IF(N(N105)&lt;=0.005,"",IF(Start!$D$10="Avalanche",INDEX(Calc!KP$75:KP$89,Calc!$F$9),INDEX(Calc!KP$50:KP$64,Calc!$D$9))))</f>
        <v/>
      </c>
      <c r="O106" s="20">
        <f>IF(P106="","",N(P105)*(1+Start!$E$18/12)-P106)</f>
        <v/>
      </c>
      <c r="P106" s="20">
        <f>IF(OR(OR(Calc!$B$4=0,$B106&gt;IF(Start!$D$10="Avalanche",Calc!$B$3,Calc!$B$2)),Calc!$B$10=0),"",IF(N(P105)&lt;=0.005,"",IF(Start!$D$10="Avalanche",INDEX(Calc!KP$75:KP$89,Calc!$F$10),INDEX(Calc!KP$50:KP$64,Calc!$D$10))))</f>
        <v/>
      </c>
      <c r="Q106" s="20">
        <f>IF(R106="","",N(R105)*(1+Start!$E$19/12)-R106)</f>
        <v/>
      </c>
      <c r="R106" s="20">
        <f>IF(OR(OR(Calc!$B$4=0,$B106&gt;IF(Start!$D$10="Avalanche",Calc!$B$3,Calc!$B$2)),Calc!$B$11=0),"",IF(N(R105)&lt;=0.005,"",IF(Start!$D$10="Avalanche",INDEX(Calc!KP$75:KP$89,Calc!$F$11),INDEX(Calc!KP$50:KP$64,Calc!$D$11))))</f>
        <v/>
      </c>
      <c r="S106" s="20">
        <f>IF(T106="","",N(T105)*(1+Start!$E$20/12)-T106)</f>
        <v/>
      </c>
      <c r="T106" s="20">
        <f>IF(OR(OR(Calc!$B$4=0,$B106&gt;IF(Start!$D$10="Avalanche",Calc!$B$3,Calc!$B$2)),Calc!$B$12=0),"",IF(N(T105)&lt;=0.005,"",IF(Start!$D$10="Avalanche",INDEX(Calc!KP$75:KP$89,Calc!$F$12),INDEX(Calc!KP$50:KP$64,Calc!$D$12))))</f>
        <v/>
      </c>
      <c r="U106" s="20">
        <f>IF(V106="","",N(V105)*(1+Start!$E$21/12)-V106)</f>
        <v/>
      </c>
      <c r="V106" s="20">
        <f>IF(OR(OR(Calc!$B$4=0,$B106&gt;IF(Start!$D$10="Avalanche",Calc!$B$3,Calc!$B$2)),Calc!$B$13=0),"",IF(N(V105)&lt;=0.005,"",IF(Start!$D$10="Avalanche",INDEX(Calc!KP$75:KP$89,Calc!$F$13),INDEX(Calc!KP$50:KP$64,Calc!$D$13))))</f>
        <v/>
      </c>
      <c r="W106" s="20">
        <f>IF(X106="","",N(X105)*(1+Start!$E$22/12)-X106)</f>
        <v/>
      </c>
      <c r="X106" s="20">
        <f>IF(OR(OR(Calc!$B$4=0,$B106&gt;IF(Start!$D$10="Avalanche",Calc!$B$3,Calc!$B$2)),Calc!$B$14=0),"",IF(N(X105)&lt;=0.005,"",IF(Start!$D$10="Avalanche",INDEX(Calc!KP$75:KP$89,Calc!$F$14),INDEX(Calc!KP$50:KP$64,Calc!$D$14))))</f>
        <v/>
      </c>
      <c r="Y106" s="20">
        <f>IF(Z106="","",N(Z105)*(1+Start!$E$23/12)-Z106)</f>
        <v/>
      </c>
      <c r="Z106" s="20">
        <f>IF(OR(OR(Calc!$B$4=0,$B106&gt;IF(Start!$D$10="Avalanche",Calc!$B$3,Calc!$B$2)),Calc!$B$15=0),"",IF(N(Z105)&lt;=0.005,"",IF(Start!$D$10="Avalanche",INDEX(Calc!KP$75:KP$89,Calc!$F$15),INDEX(Calc!KP$50:KP$64,Calc!$D$15))))</f>
        <v/>
      </c>
      <c r="AA106" s="20">
        <f>IF(AB106="","",N(AB105)*(1+Start!$E$24/12)-AB106)</f>
        <v/>
      </c>
      <c r="AB106" s="20">
        <f>IF(OR(OR(Calc!$B$4=0,$B106&gt;IF(Start!$D$10="Avalanche",Calc!$B$3,Calc!$B$2)),Calc!$B$16=0),"",IF(N(AB105)&lt;=0.005,"",IF(Start!$D$10="Avalanche",INDEX(Calc!KP$75:KP$89,Calc!$F$16),INDEX(Calc!KP$50:KP$64,Calc!$D$16))))</f>
        <v/>
      </c>
      <c r="AC106" s="20">
        <f>IF(AD106="","",N(AD105)*(1+Start!$E$25/12)-AD106)</f>
        <v/>
      </c>
      <c r="AD106" s="20">
        <f>IF(OR(OR(Calc!$B$4=0,$B106&gt;IF(Start!$D$10="Avalanche",Calc!$B$3,Calc!$B$2)),Calc!$B$17=0),"",IF(N(AD105)&lt;=0.005,"",IF(Start!$D$10="Avalanche",INDEX(Calc!KP$75:KP$89,Calc!$F$17),INDEX(Calc!KP$50:KP$64,Calc!$D$17))))</f>
        <v/>
      </c>
      <c r="AE106" s="20">
        <f>IF(AF106="","",N(AF105)*(1+Start!$E$26/12)-AF106)</f>
        <v/>
      </c>
      <c r="AF106" s="20">
        <f>IF(OR(OR(Calc!$B$4=0,$B106&gt;IF(Start!$D$10="Avalanche",Calc!$B$3,Calc!$B$2)),Calc!$B$18=0),"",IF(N(AF105)&lt;=0.005,"",IF(Start!$D$10="Avalanche",INDEX(Calc!KP$75:KP$89,Calc!$F$18),INDEX(Calc!KP$50:KP$64,Calc!$D$18))))</f>
        <v/>
      </c>
      <c r="AG106" s="20">
        <f>IF(AH106="","",N(AH105)*(1+Start!$E$27/12)-AH106)</f>
        <v/>
      </c>
      <c r="AH106" s="20">
        <f>IF(OR(OR(Calc!$B$4=0,$B106&gt;IF(Start!$D$10="Avalanche",Calc!$B$3,Calc!$B$2)),Calc!$B$19=0),"",IF(N(AH105)&lt;=0.005,"",IF(Start!$D$10="Avalanche",INDEX(Calc!KP$75:KP$89,Calc!$F$19),INDEX(Calc!KP$50:KP$64,Calc!$D$19))))</f>
        <v/>
      </c>
      <c r="AI106" s="20">
        <f>IF(AJ106="","",N(AJ105)*(1+Start!$E$28/12)-AJ106)</f>
        <v/>
      </c>
      <c r="AJ106" s="20">
        <f>IF(OR(OR(Calc!$B$4=0,$B106&gt;IF(Start!$D$10="Avalanche",Calc!$B$3,Calc!$B$2)),Calc!$B$20=0),"",IF(N(AJ105)&lt;=0.005,"",IF(Start!$D$10="Avalanche",INDEX(Calc!KP$75:KP$89,Calc!$F$20),INDEX(Calc!KP$50:KP$64,Calc!$D$20))))</f>
        <v/>
      </c>
    </row>
    <row r="107">
      <c r="B107" s="17" t="n">
        <v>101</v>
      </c>
      <c r="C107" s="19">
        <f>IF(Calc!$B$4=0,"",EDATE(Start!$D$11,100))</f>
        <v/>
      </c>
      <c r="D107" s="20">
        <f>IF(OR(Calc!$B$4=0,$B107&gt;IF(Start!$D$10="Avalanche",Calc!$B$3,Calc!$B$2)),"",SUM(G107,I107,K107,M107,O107,Q107,S107,U107,W107,Y107,AA107,AC107,AE107,AG107,AI107))</f>
        <v/>
      </c>
      <c r="E107" s="20">
        <f>IF(OR(Calc!$B$4=0,$B107&gt;IF(Start!$D$10="Avalanche",Calc!$B$3,Calc!$B$2)),"",IF(Start!$D$10="Avalanche",Calc!KQ$72,Calc!KQ$47))</f>
        <v/>
      </c>
      <c r="F107" s="21">
        <f>IF(Calc!$B$4=0,"",IF($B107&gt;IF(Start!$D$10="Avalanche",Calc!$B$3,Calc!$B$2),NA(),SUM(H107,J107,L107,N107,P107,R107,T107,V107,X107,Z107,AB107,AD107,AF107,AH107,AJ107)))</f>
        <v/>
      </c>
      <c r="G107" s="20">
        <f>IF(H107="","",N(H106)*(1+Start!$E$14/12)-H107)</f>
        <v/>
      </c>
      <c r="H107" s="20">
        <f>IF(OR(OR(Calc!$B$4=0,$B107&gt;IF(Start!$D$10="Avalanche",Calc!$B$3,Calc!$B$2)),Calc!$B$6=0),"",IF(N(H106)&lt;=0.005,"",IF(Start!$D$10="Avalanche",INDEX(Calc!KS$75:KS$89,Calc!$F$6),INDEX(Calc!KS$50:KS$64,Calc!$D$6))))</f>
        <v/>
      </c>
      <c r="I107" s="20">
        <f>IF(J107="","",N(J106)*(1+Start!$E$15/12)-J107)</f>
        <v/>
      </c>
      <c r="J107" s="20">
        <f>IF(OR(OR(Calc!$B$4=0,$B107&gt;IF(Start!$D$10="Avalanche",Calc!$B$3,Calc!$B$2)),Calc!$B$7=0),"",IF(N(J106)&lt;=0.005,"",IF(Start!$D$10="Avalanche",INDEX(Calc!KS$75:KS$89,Calc!$F$7),INDEX(Calc!KS$50:KS$64,Calc!$D$7))))</f>
        <v/>
      </c>
      <c r="K107" s="20">
        <f>IF(L107="","",N(L106)*(1+Start!$E$16/12)-L107)</f>
        <v/>
      </c>
      <c r="L107" s="20">
        <f>IF(OR(OR(Calc!$B$4=0,$B107&gt;IF(Start!$D$10="Avalanche",Calc!$B$3,Calc!$B$2)),Calc!$B$8=0),"",IF(N(L106)&lt;=0.005,"",IF(Start!$D$10="Avalanche",INDEX(Calc!KS$75:KS$89,Calc!$F$8),INDEX(Calc!KS$50:KS$64,Calc!$D$8))))</f>
        <v/>
      </c>
      <c r="M107" s="20">
        <f>IF(N107="","",N(N106)*(1+Start!$E$17/12)-N107)</f>
        <v/>
      </c>
      <c r="N107" s="20">
        <f>IF(OR(OR(Calc!$B$4=0,$B107&gt;IF(Start!$D$10="Avalanche",Calc!$B$3,Calc!$B$2)),Calc!$B$9=0),"",IF(N(N106)&lt;=0.005,"",IF(Start!$D$10="Avalanche",INDEX(Calc!KS$75:KS$89,Calc!$F$9),INDEX(Calc!KS$50:KS$64,Calc!$D$9))))</f>
        <v/>
      </c>
      <c r="O107" s="20">
        <f>IF(P107="","",N(P106)*(1+Start!$E$18/12)-P107)</f>
        <v/>
      </c>
      <c r="P107" s="20">
        <f>IF(OR(OR(Calc!$B$4=0,$B107&gt;IF(Start!$D$10="Avalanche",Calc!$B$3,Calc!$B$2)),Calc!$B$10=0),"",IF(N(P106)&lt;=0.005,"",IF(Start!$D$10="Avalanche",INDEX(Calc!KS$75:KS$89,Calc!$F$10),INDEX(Calc!KS$50:KS$64,Calc!$D$10))))</f>
        <v/>
      </c>
      <c r="Q107" s="20">
        <f>IF(R107="","",N(R106)*(1+Start!$E$19/12)-R107)</f>
        <v/>
      </c>
      <c r="R107" s="20">
        <f>IF(OR(OR(Calc!$B$4=0,$B107&gt;IF(Start!$D$10="Avalanche",Calc!$B$3,Calc!$B$2)),Calc!$B$11=0),"",IF(N(R106)&lt;=0.005,"",IF(Start!$D$10="Avalanche",INDEX(Calc!KS$75:KS$89,Calc!$F$11),INDEX(Calc!KS$50:KS$64,Calc!$D$11))))</f>
        <v/>
      </c>
      <c r="S107" s="20">
        <f>IF(T107="","",N(T106)*(1+Start!$E$20/12)-T107)</f>
        <v/>
      </c>
      <c r="T107" s="20">
        <f>IF(OR(OR(Calc!$B$4=0,$B107&gt;IF(Start!$D$10="Avalanche",Calc!$B$3,Calc!$B$2)),Calc!$B$12=0),"",IF(N(T106)&lt;=0.005,"",IF(Start!$D$10="Avalanche",INDEX(Calc!KS$75:KS$89,Calc!$F$12),INDEX(Calc!KS$50:KS$64,Calc!$D$12))))</f>
        <v/>
      </c>
      <c r="U107" s="20">
        <f>IF(V107="","",N(V106)*(1+Start!$E$21/12)-V107)</f>
        <v/>
      </c>
      <c r="V107" s="20">
        <f>IF(OR(OR(Calc!$B$4=0,$B107&gt;IF(Start!$D$10="Avalanche",Calc!$B$3,Calc!$B$2)),Calc!$B$13=0),"",IF(N(V106)&lt;=0.005,"",IF(Start!$D$10="Avalanche",INDEX(Calc!KS$75:KS$89,Calc!$F$13),INDEX(Calc!KS$50:KS$64,Calc!$D$13))))</f>
        <v/>
      </c>
      <c r="W107" s="20">
        <f>IF(X107="","",N(X106)*(1+Start!$E$22/12)-X107)</f>
        <v/>
      </c>
      <c r="X107" s="20">
        <f>IF(OR(OR(Calc!$B$4=0,$B107&gt;IF(Start!$D$10="Avalanche",Calc!$B$3,Calc!$B$2)),Calc!$B$14=0),"",IF(N(X106)&lt;=0.005,"",IF(Start!$D$10="Avalanche",INDEX(Calc!KS$75:KS$89,Calc!$F$14),INDEX(Calc!KS$50:KS$64,Calc!$D$14))))</f>
        <v/>
      </c>
      <c r="Y107" s="20">
        <f>IF(Z107="","",N(Z106)*(1+Start!$E$23/12)-Z107)</f>
        <v/>
      </c>
      <c r="Z107" s="20">
        <f>IF(OR(OR(Calc!$B$4=0,$B107&gt;IF(Start!$D$10="Avalanche",Calc!$B$3,Calc!$B$2)),Calc!$B$15=0),"",IF(N(Z106)&lt;=0.005,"",IF(Start!$D$10="Avalanche",INDEX(Calc!KS$75:KS$89,Calc!$F$15),INDEX(Calc!KS$50:KS$64,Calc!$D$15))))</f>
        <v/>
      </c>
      <c r="AA107" s="20">
        <f>IF(AB107="","",N(AB106)*(1+Start!$E$24/12)-AB107)</f>
        <v/>
      </c>
      <c r="AB107" s="20">
        <f>IF(OR(OR(Calc!$B$4=0,$B107&gt;IF(Start!$D$10="Avalanche",Calc!$B$3,Calc!$B$2)),Calc!$B$16=0),"",IF(N(AB106)&lt;=0.005,"",IF(Start!$D$10="Avalanche",INDEX(Calc!KS$75:KS$89,Calc!$F$16),INDEX(Calc!KS$50:KS$64,Calc!$D$16))))</f>
        <v/>
      </c>
      <c r="AC107" s="20">
        <f>IF(AD107="","",N(AD106)*(1+Start!$E$25/12)-AD107)</f>
        <v/>
      </c>
      <c r="AD107" s="20">
        <f>IF(OR(OR(Calc!$B$4=0,$B107&gt;IF(Start!$D$10="Avalanche",Calc!$B$3,Calc!$B$2)),Calc!$B$17=0),"",IF(N(AD106)&lt;=0.005,"",IF(Start!$D$10="Avalanche",INDEX(Calc!KS$75:KS$89,Calc!$F$17),INDEX(Calc!KS$50:KS$64,Calc!$D$17))))</f>
        <v/>
      </c>
      <c r="AE107" s="20">
        <f>IF(AF107="","",N(AF106)*(1+Start!$E$26/12)-AF107)</f>
        <v/>
      </c>
      <c r="AF107" s="20">
        <f>IF(OR(OR(Calc!$B$4=0,$B107&gt;IF(Start!$D$10="Avalanche",Calc!$B$3,Calc!$B$2)),Calc!$B$18=0),"",IF(N(AF106)&lt;=0.005,"",IF(Start!$D$10="Avalanche",INDEX(Calc!KS$75:KS$89,Calc!$F$18),INDEX(Calc!KS$50:KS$64,Calc!$D$18))))</f>
        <v/>
      </c>
      <c r="AG107" s="20">
        <f>IF(AH107="","",N(AH106)*(1+Start!$E$27/12)-AH107)</f>
        <v/>
      </c>
      <c r="AH107" s="20">
        <f>IF(OR(OR(Calc!$B$4=0,$B107&gt;IF(Start!$D$10="Avalanche",Calc!$B$3,Calc!$B$2)),Calc!$B$19=0),"",IF(N(AH106)&lt;=0.005,"",IF(Start!$D$10="Avalanche",INDEX(Calc!KS$75:KS$89,Calc!$F$19),INDEX(Calc!KS$50:KS$64,Calc!$D$19))))</f>
        <v/>
      </c>
      <c r="AI107" s="20">
        <f>IF(AJ107="","",N(AJ106)*(1+Start!$E$28/12)-AJ107)</f>
        <v/>
      </c>
      <c r="AJ107" s="20">
        <f>IF(OR(OR(Calc!$B$4=0,$B107&gt;IF(Start!$D$10="Avalanche",Calc!$B$3,Calc!$B$2)),Calc!$B$20=0),"",IF(N(AJ106)&lt;=0.005,"",IF(Start!$D$10="Avalanche",INDEX(Calc!KS$75:KS$89,Calc!$F$20),INDEX(Calc!KS$50:KS$64,Calc!$D$20))))</f>
        <v/>
      </c>
    </row>
    <row r="108">
      <c r="B108" s="17" t="n">
        <v>102</v>
      </c>
      <c r="C108" s="19">
        <f>IF(Calc!$B$4=0,"",EDATE(Start!$D$11,101))</f>
        <v/>
      </c>
      <c r="D108" s="20">
        <f>IF(OR(Calc!$B$4=0,$B108&gt;IF(Start!$D$10="Avalanche",Calc!$B$3,Calc!$B$2)),"",SUM(G108,I108,K108,M108,O108,Q108,S108,U108,W108,Y108,AA108,AC108,AE108,AG108,AI108))</f>
        <v/>
      </c>
      <c r="E108" s="20">
        <f>IF(OR(Calc!$B$4=0,$B108&gt;IF(Start!$D$10="Avalanche",Calc!$B$3,Calc!$B$2)),"",IF(Start!$D$10="Avalanche",Calc!KT$72,Calc!KT$47))</f>
        <v/>
      </c>
      <c r="F108" s="21">
        <f>IF(Calc!$B$4=0,"",IF($B108&gt;IF(Start!$D$10="Avalanche",Calc!$B$3,Calc!$B$2),NA(),SUM(H108,J108,L108,N108,P108,R108,T108,V108,X108,Z108,AB108,AD108,AF108,AH108,AJ108)))</f>
        <v/>
      </c>
      <c r="G108" s="20">
        <f>IF(H108="","",N(H107)*(1+Start!$E$14/12)-H108)</f>
        <v/>
      </c>
      <c r="H108" s="20">
        <f>IF(OR(OR(Calc!$B$4=0,$B108&gt;IF(Start!$D$10="Avalanche",Calc!$B$3,Calc!$B$2)),Calc!$B$6=0),"",IF(N(H107)&lt;=0.005,"",IF(Start!$D$10="Avalanche",INDEX(Calc!KV$75:KV$89,Calc!$F$6),INDEX(Calc!KV$50:KV$64,Calc!$D$6))))</f>
        <v/>
      </c>
      <c r="I108" s="20">
        <f>IF(J108="","",N(J107)*(1+Start!$E$15/12)-J108)</f>
        <v/>
      </c>
      <c r="J108" s="20">
        <f>IF(OR(OR(Calc!$B$4=0,$B108&gt;IF(Start!$D$10="Avalanche",Calc!$B$3,Calc!$B$2)),Calc!$B$7=0),"",IF(N(J107)&lt;=0.005,"",IF(Start!$D$10="Avalanche",INDEX(Calc!KV$75:KV$89,Calc!$F$7),INDEX(Calc!KV$50:KV$64,Calc!$D$7))))</f>
        <v/>
      </c>
      <c r="K108" s="20">
        <f>IF(L108="","",N(L107)*(1+Start!$E$16/12)-L108)</f>
        <v/>
      </c>
      <c r="L108" s="20">
        <f>IF(OR(OR(Calc!$B$4=0,$B108&gt;IF(Start!$D$10="Avalanche",Calc!$B$3,Calc!$B$2)),Calc!$B$8=0),"",IF(N(L107)&lt;=0.005,"",IF(Start!$D$10="Avalanche",INDEX(Calc!KV$75:KV$89,Calc!$F$8),INDEX(Calc!KV$50:KV$64,Calc!$D$8))))</f>
        <v/>
      </c>
      <c r="M108" s="20">
        <f>IF(N108="","",N(N107)*(1+Start!$E$17/12)-N108)</f>
        <v/>
      </c>
      <c r="N108" s="20">
        <f>IF(OR(OR(Calc!$B$4=0,$B108&gt;IF(Start!$D$10="Avalanche",Calc!$B$3,Calc!$B$2)),Calc!$B$9=0),"",IF(N(N107)&lt;=0.005,"",IF(Start!$D$10="Avalanche",INDEX(Calc!KV$75:KV$89,Calc!$F$9),INDEX(Calc!KV$50:KV$64,Calc!$D$9))))</f>
        <v/>
      </c>
      <c r="O108" s="20">
        <f>IF(P108="","",N(P107)*(1+Start!$E$18/12)-P108)</f>
        <v/>
      </c>
      <c r="P108" s="20">
        <f>IF(OR(OR(Calc!$B$4=0,$B108&gt;IF(Start!$D$10="Avalanche",Calc!$B$3,Calc!$B$2)),Calc!$B$10=0),"",IF(N(P107)&lt;=0.005,"",IF(Start!$D$10="Avalanche",INDEX(Calc!KV$75:KV$89,Calc!$F$10),INDEX(Calc!KV$50:KV$64,Calc!$D$10))))</f>
        <v/>
      </c>
      <c r="Q108" s="20">
        <f>IF(R108="","",N(R107)*(1+Start!$E$19/12)-R108)</f>
        <v/>
      </c>
      <c r="R108" s="20">
        <f>IF(OR(OR(Calc!$B$4=0,$B108&gt;IF(Start!$D$10="Avalanche",Calc!$B$3,Calc!$B$2)),Calc!$B$11=0),"",IF(N(R107)&lt;=0.005,"",IF(Start!$D$10="Avalanche",INDEX(Calc!KV$75:KV$89,Calc!$F$11),INDEX(Calc!KV$50:KV$64,Calc!$D$11))))</f>
        <v/>
      </c>
      <c r="S108" s="20">
        <f>IF(T108="","",N(T107)*(1+Start!$E$20/12)-T108)</f>
        <v/>
      </c>
      <c r="T108" s="20">
        <f>IF(OR(OR(Calc!$B$4=0,$B108&gt;IF(Start!$D$10="Avalanche",Calc!$B$3,Calc!$B$2)),Calc!$B$12=0),"",IF(N(T107)&lt;=0.005,"",IF(Start!$D$10="Avalanche",INDEX(Calc!KV$75:KV$89,Calc!$F$12),INDEX(Calc!KV$50:KV$64,Calc!$D$12))))</f>
        <v/>
      </c>
      <c r="U108" s="20">
        <f>IF(V108="","",N(V107)*(1+Start!$E$21/12)-V108)</f>
        <v/>
      </c>
      <c r="V108" s="20">
        <f>IF(OR(OR(Calc!$B$4=0,$B108&gt;IF(Start!$D$10="Avalanche",Calc!$B$3,Calc!$B$2)),Calc!$B$13=0),"",IF(N(V107)&lt;=0.005,"",IF(Start!$D$10="Avalanche",INDEX(Calc!KV$75:KV$89,Calc!$F$13),INDEX(Calc!KV$50:KV$64,Calc!$D$13))))</f>
        <v/>
      </c>
      <c r="W108" s="20">
        <f>IF(X108="","",N(X107)*(1+Start!$E$22/12)-X108)</f>
        <v/>
      </c>
      <c r="X108" s="20">
        <f>IF(OR(OR(Calc!$B$4=0,$B108&gt;IF(Start!$D$10="Avalanche",Calc!$B$3,Calc!$B$2)),Calc!$B$14=0),"",IF(N(X107)&lt;=0.005,"",IF(Start!$D$10="Avalanche",INDEX(Calc!KV$75:KV$89,Calc!$F$14),INDEX(Calc!KV$50:KV$64,Calc!$D$14))))</f>
        <v/>
      </c>
      <c r="Y108" s="20">
        <f>IF(Z108="","",N(Z107)*(1+Start!$E$23/12)-Z108)</f>
        <v/>
      </c>
      <c r="Z108" s="20">
        <f>IF(OR(OR(Calc!$B$4=0,$B108&gt;IF(Start!$D$10="Avalanche",Calc!$B$3,Calc!$B$2)),Calc!$B$15=0),"",IF(N(Z107)&lt;=0.005,"",IF(Start!$D$10="Avalanche",INDEX(Calc!KV$75:KV$89,Calc!$F$15),INDEX(Calc!KV$50:KV$64,Calc!$D$15))))</f>
        <v/>
      </c>
      <c r="AA108" s="20">
        <f>IF(AB108="","",N(AB107)*(1+Start!$E$24/12)-AB108)</f>
        <v/>
      </c>
      <c r="AB108" s="20">
        <f>IF(OR(OR(Calc!$B$4=0,$B108&gt;IF(Start!$D$10="Avalanche",Calc!$B$3,Calc!$B$2)),Calc!$B$16=0),"",IF(N(AB107)&lt;=0.005,"",IF(Start!$D$10="Avalanche",INDEX(Calc!KV$75:KV$89,Calc!$F$16),INDEX(Calc!KV$50:KV$64,Calc!$D$16))))</f>
        <v/>
      </c>
      <c r="AC108" s="20">
        <f>IF(AD108="","",N(AD107)*(1+Start!$E$25/12)-AD108)</f>
        <v/>
      </c>
      <c r="AD108" s="20">
        <f>IF(OR(OR(Calc!$B$4=0,$B108&gt;IF(Start!$D$10="Avalanche",Calc!$B$3,Calc!$B$2)),Calc!$B$17=0),"",IF(N(AD107)&lt;=0.005,"",IF(Start!$D$10="Avalanche",INDEX(Calc!KV$75:KV$89,Calc!$F$17),INDEX(Calc!KV$50:KV$64,Calc!$D$17))))</f>
        <v/>
      </c>
      <c r="AE108" s="20">
        <f>IF(AF108="","",N(AF107)*(1+Start!$E$26/12)-AF108)</f>
        <v/>
      </c>
      <c r="AF108" s="20">
        <f>IF(OR(OR(Calc!$B$4=0,$B108&gt;IF(Start!$D$10="Avalanche",Calc!$B$3,Calc!$B$2)),Calc!$B$18=0),"",IF(N(AF107)&lt;=0.005,"",IF(Start!$D$10="Avalanche",INDEX(Calc!KV$75:KV$89,Calc!$F$18),INDEX(Calc!KV$50:KV$64,Calc!$D$18))))</f>
        <v/>
      </c>
      <c r="AG108" s="20">
        <f>IF(AH108="","",N(AH107)*(1+Start!$E$27/12)-AH108)</f>
        <v/>
      </c>
      <c r="AH108" s="20">
        <f>IF(OR(OR(Calc!$B$4=0,$B108&gt;IF(Start!$D$10="Avalanche",Calc!$B$3,Calc!$B$2)),Calc!$B$19=0),"",IF(N(AH107)&lt;=0.005,"",IF(Start!$D$10="Avalanche",INDEX(Calc!KV$75:KV$89,Calc!$F$19),INDEX(Calc!KV$50:KV$64,Calc!$D$19))))</f>
        <v/>
      </c>
      <c r="AI108" s="20">
        <f>IF(AJ108="","",N(AJ107)*(1+Start!$E$28/12)-AJ108)</f>
        <v/>
      </c>
      <c r="AJ108" s="20">
        <f>IF(OR(OR(Calc!$B$4=0,$B108&gt;IF(Start!$D$10="Avalanche",Calc!$B$3,Calc!$B$2)),Calc!$B$20=0),"",IF(N(AJ107)&lt;=0.005,"",IF(Start!$D$10="Avalanche",INDEX(Calc!KV$75:KV$89,Calc!$F$20),INDEX(Calc!KV$50:KV$64,Calc!$D$20))))</f>
        <v/>
      </c>
    </row>
    <row r="109">
      <c r="B109" s="17" t="n">
        <v>103</v>
      </c>
      <c r="C109" s="19">
        <f>IF(Calc!$B$4=0,"",EDATE(Start!$D$11,102))</f>
        <v/>
      </c>
      <c r="D109" s="20">
        <f>IF(OR(Calc!$B$4=0,$B109&gt;IF(Start!$D$10="Avalanche",Calc!$B$3,Calc!$B$2)),"",SUM(G109,I109,K109,M109,O109,Q109,S109,U109,W109,Y109,AA109,AC109,AE109,AG109,AI109))</f>
        <v/>
      </c>
      <c r="E109" s="20">
        <f>IF(OR(Calc!$B$4=0,$B109&gt;IF(Start!$D$10="Avalanche",Calc!$B$3,Calc!$B$2)),"",IF(Start!$D$10="Avalanche",Calc!KW$72,Calc!KW$47))</f>
        <v/>
      </c>
      <c r="F109" s="21">
        <f>IF(Calc!$B$4=0,"",IF($B109&gt;IF(Start!$D$10="Avalanche",Calc!$B$3,Calc!$B$2),NA(),SUM(H109,J109,L109,N109,P109,R109,T109,V109,X109,Z109,AB109,AD109,AF109,AH109,AJ109)))</f>
        <v/>
      </c>
      <c r="G109" s="20">
        <f>IF(H109="","",N(H108)*(1+Start!$E$14/12)-H109)</f>
        <v/>
      </c>
      <c r="H109" s="20">
        <f>IF(OR(OR(Calc!$B$4=0,$B109&gt;IF(Start!$D$10="Avalanche",Calc!$B$3,Calc!$B$2)),Calc!$B$6=0),"",IF(N(H108)&lt;=0.005,"",IF(Start!$D$10="Avalanche",INDEX(Calc!KY$75:KY$89,Calc!$F$6),INDEX(Calc!KY$50:KY$64,Calc!$D$6))))</f>
        <v/>
      </c>
      <c r="I109" s="20">
        <f>IF(J109="","",N(J108)*(1+Start!$E$15/12)-J109)</f>
        <v/>
      </c>
      <c r="J109" s="20">
        <f>IF(OR(OR(Calc!$B$4=0,$B109&gt;IF(Start!$D$10="Avalanche",Calc!$B$3,Calc!$B$2)),Calc!$B$7=0),"",IF(N(J108)&lt;=0.005,"",IF(Start!$D$10="Avalanche",INDEX(Calc!KY$75:KY$89,Calc!$F$7),INDEX(Calc!KY$50:KY$64,Calc!$D$7))))</f>
        <v/>
      </c>
      <c r="K109" s="20">
        <f>IF(L109="","",N(L108)*(1+Start!$E$16/12)-L109)</f>
        <v/>
      </c>
      <c r="L109" s="20">
        <f>IF(OR(OR(Calc!$B$4=0,$B109&gt;IF(Start!$D$10="Avalanche",Calc!$B$3,Calc!$B$2)),Calc!$B$8=0),"",IF(N(L108)&lt;=0.005,"",IF(Start!$D$10="Avalanche",INDEX(Calc!KY$75:KY$89,Calc!$F$8),INDEX(Calc!KY$50:KY$64,Calc!$D$8))))</f>
        <v/>
      </c>
      <c r="M109" s="20">
        <f>IF(N109="","",N(N108)*(1+Start!$E$17/12)-N109)</f>
        <v/>
      </c>
      <c r="N109" s="20">
        <f>IF(OR(OR(Calc!$B$4=0,$B109&gt;IF(Start!$D$10="Avalanche",Calc!$B$3,Calc!$B$2)),Calc!$B$9=0),"",IF(N(N108)&lt;=0.005,"",IF(Start!$D$10="Avalanche",INDEX(Calc!KY$75:KY$89,Calc!$F$9),INDEX(Calc!KY$50:KY$64,Calc!$D$9))))</f>
        <v/>
      </c>
      <c r="O109" s="20">
        <f>IF(P109="","",N(P108)*(1+Start!$E$18/12)-P109)</f>
        <v/>
      </c>
      <c r="P109" s="20">
        <f>IF(OR(OR(Calc!$B$4=0,$B109&gt;IF(Start!$D$10="Avalanche",Calc!$B$3,Calc!$B$2)),Calc!$B$10=0),"",IF(N(P108)&lt;=0.005,"",IF(Start!$D$10="Avalanche",INDEX(Calc!KY$75:KY$89,Calc!$F$10),INDEX(Calc!KY$50:KY$64,Calc!$D$10))))</f>
        <v/>
      </c>
      <c r="Q109" s="20">
        <f>IF(R109="","",N(R108)*(1+Start!$E$19/12)-R109)</f>
        <v/>
      </c>
      <c r="R109" s="20">
        <f>IF(OR(OR(Calc!$B$4=0,$B109&gt;IF(Start!$D$10="Avalanche",Calc!$B$3,Calc!$B$2)),Calc!$B$11=0),"",IF(N(R108)&lt;=0.005,"",IF(Start!$D$10="Avalanche",INDEX(Calc!KY$75:KY$89,Calc!$F$11),INDEX(Calc!KY$50:KY$64,Calc!$D$11))))</f>
        <v/>
      </c>
      <c r="S109" s="20">
        <f>IF(T109="","",N(T108)*(1+Start!$E$20/12)-T109)</f>
        <v/>
      </c>
      <c r="T109" s="20">
        <f>IF(OR(OR(Calc!$B$4=0,$B109&gt;IF(Start!$D$10="Avalanche",Calc!$B$3,Calc!$B$2)),Calc!$B$12=0),"",IF(N(T108)&lt;=0.005,"",IF(Start!$D$10="Avalanche",INDEX(Calc!KY$75:KY$89,Calc!$F$12),INDEX(Calc!KY$50:KY$64,Calc!$D$12))))</f>
        <v/>
      </c>
      <c r="U109" s="20">
        <f>IF(V109="","",N(V108)*(1+Start!$E$21/12)-V109)</f>
        <v/>
      </c>
      <c r="V109" s="20">
        <f>IF(OR(OR(Calc!$B$4=0,$B109&gt;IF(Start!$D$10="Avalanche",Calc!$B$3,Calc!$B$2)),Calc!$B$13=0),"",IF(N(V108)&lt;=0.005,"",IF(Start!$D$10="Avalanche",INDEX(Calc!KY$75:KY$89,Calc!$F$13),INDEX(Calc!KY$50:KY$64,Calc!$D$13))))</f>
        <v/>
      </c>
      <c r="W109" s="20">
        <f>IF(X109="","",N(X108)*(1+Start!$E$22/12)-X109)</f>
        <v/>
      </c>
      <c r="X109" s="20">
        <f>IF(OR(OR(Calc!$B$4=0,$B109&gt;IF(Start!$D$10="Avalanche",Calc!$B$3,Calc!$B$2)),Calc!$B$14=0),"",IF(N(X108)&lt;=0.005,"",IF(Start!$D$10="Avalanche",INDEX(Calc!KY$75:KY$89,Calc!$F$14),INDEX(Calc!KY$50:KY$64,Calc!$D$14))))</f>
        <v/>
      </c>
      <c r="Y109" s="20">
        <f>IF(Z109="","",N(Z108)*(1+Start!$E$23/12)-Z109)</f>
        <v/>
      </c>
      <c r="Z109" s="20">
        <f>IF(OR(OR(Calc!$B$4=0,$B109&gt;IF(Start!$D$10="Avalanche",Calc!$B$3,Calc!$B$2)),Calc!$B$15=0),"",IF(N(Z108)&lt;=0.005,"",IF(Start!$D$10="Avalanche",INDEX(Calc!KY$75:KY$89,Calc!$F$15),INDEX(Calc!KY$50:KY$64,Calc!$D$15))))</f>
        <v/>
      </c>
      <c r="AA109" s="20">
        <f>IF(AB109="","",N(AB108)*(1+Start!$E$24/12)-AB109)</f>
        <v/>
      </c>
      <c r="AB109" s="20">
        <f>IF(OR(OR(Calc!$B$4=0,$B109&gt;IF(Start!$D$10="Avalanche",Calc!$B$3,Calc!$B$2)),Calc!$B$16=0),"",IF(N(AB108)&lt;=0.005,"",IF(Start!$D$10="Avalanche",INDEX(Calc!KY$75:KY$89,Calc!$F$16),INDEX(Calc!KY$50:KY$64,Calc!$D$16))))</f>
        <v/>
      </c>
      <c r="AC109" s="20">
        <f>IF(AD109="","",N(AD108)*(1+Start!$E$25/12)-AD109)</f>
        <v/>
      </c>
      <c r="AD109" s="20">
        <f>IF(OR(OR(Calc!$B$4=0,$B109&gt;IF(Start!$D$10="Avalanche",Calc!$B$3,Calc!$B$2)),Calc!$B$17=0),"",IF(N(AD108)&lt;=0.005,"",IF(Start!$D$10="Avalanche",INDEX(Calc!KY$75:KY$89,Calc!$F$17),INDEX(Calc!KY$50:KY$64,Calc!$D$17))))</f>
        <v/>
      </c>
      <c r="AE109" s="20">
        <f>IF(AF109="","",N(AF108)*(1+Start!$E$26/12)-AF109)</f>
        <v/>
      </c>
      <c r="AF109" s="20">
        <f>IF(OR(OR(Calc!$B$4=0,$B109&gt;IF(Start!$D$10="Avalanche",Calc!$B$3,Calc!$B$2)),Calc!$B$18=0),"",IF(N(AF108)&lt;=0.005,"",IF(Start!$D$10="Avalanche",INDEX(Calc!KY$75:KY$89,Calc!$F$18),INDEX(Calc!KY$50:KY$64,Calc!$D$18))))</f>
        <v/>
      </c>
      <c r="AG109" s="20">
        <f>IF(AH109="","",N(AH108)*(1+Start!$E$27/12)-AH109)</f>
        <v/>
      </c>
      <c r="AH109" s="20">
        <f>IF(OR(OR(Calc!$B$4=0,$B109&gt;IF(Start!$D$10="Avalanche",Calc!$B$3,Calc!$B$2)),Calc!$B$19=0),"",IF(N(AH108)&lt;=0.005,"",IF(Start!$D$10="Avalanche",INDEX(Calc!KY$75:KY$89,Calc!$F$19),INDEX(Calc!KY$50:KY$64,Calc!$D$19))))</f>
        <v/>
      </c>
      <c r="AI109" s="20">
        <f>IF(AJ109="","",N(AJ108)*(1+Start!$E$28/12)-AJ109)</f>
        <v/>
      </c>
      <c r="AJ109" s="20">
        <f>IF(OR(OR(Calc!$B$4=0,$B109&gt;IF(Start!$D$10="Avalanche",Calc!$B$3,Calc!$B$2)),Calc!$B$20=0),"",IF(N(AJ108)&lt;=0.005,"",IF(Start!$D$10="Avalanche",INDEX(Calc!KY$75:KY$89,Calc!$F$20),INDEX(Calc!KY$50:KY$64,Calc!$D$20))))</f>
        <v/>
      </c>
    </row>
    <row r="110">
      <c r="B110" s="17" t="n">
        <v>104</v>
      </c>
      <c r="C110" s="19">
        <f>IF(Calc!$B$4=0,"",EDATE(Start!$D$11,103))</f>
        <v/>
      </c>
      <c r="D110" s="20">
        <f>IF(OR(Calc!$B$4=0,$B110&gt;IF(Start!$D$10="Avalanche",Calc!$B$3,Calc!$B$2)),"",SUM(G110,I110,K110,M110,O110,Q110,S110,U110,W110,Y110,AA110,AC110,AE110,AG110,AI110))</f>
        <v/>
      </c>
      <c r="E110" s="20">
        <f>IF(OR(Calc!$B$4=0,$B110&gt;IF(Start!$D$10="Avalanche",Calc!$B$3,Calc!$B$2)),"",IF(Start!$D$10="Avalanche",Calc!KZ$72,Calc!KZ$47))</f>
        <v/>
      </c>
      <c r="F110" s="21">
        <f>IF(Calc!$B$4=0,"",IF($B110&gt;IF(Start!$D$10="Avalanche",Calc!$B$3,Calc!$B$2),NA(),SUM(H110,J110,L110,N110,P110,R110,T110,V110,X110,Z110,AB110,AD110,AF110,AH110,AJ110)))</f>
        <v/>
      </c>
      <c r="G110" s="20">
        <f>IF(H110="","",N(H109)*(1+Start!$E$14/12)-H110)</f>
        <v/>
      </c>
      <c r="H110" s="20">
        <f>IF(OR(OR(Calc!$B$4=0,$B110&gt;IF(Start!$D$10="Avalanche",Calc!$B$3,Calc!$B$2)),Calc!$B$6=0),"",IF(N(H109)&lt;=0.005,"",IF(Start!$D$10="Avalanche",INDEX(Calc!LB$75:LB$89,Calc!$F$6),INDEX(Calc!LB$50:LB$64,Calc!$D$6))))</f>
        <v/>
      </c>
      <c r="I110" s="20">
        <f>IF(J110="","",N(J109)*(1+Start!$E$15/12)-J110)</f>
        <v/>
      </c>
      <c r="J110" s="20">
        <f>IF(OR(OR(Calc!$B$4=0,$B110&gt;IF(Start!$D$10="Avalanche",Calc!$B$3,Calc!$B$2)),Calc!$B$7=0),"",IF(N(J109)&lt;=0.005,"",IF(Start!$D$10="Avalanche",INDEX(Calc!LB$75:LB$89,Calc!$F$7),INDEX(Calc!LB$50:LB$64,Calc!$D$7))))</f>
        <v/>
      </c>
      <c r="K110" s="20">
        <f>IF(L110="","",N(L109)*(1+Start!$E$16/12)-L110)</f>
        <v/>
      </c>
      <c r="L110" s="20">
        <f>IF(OR(OR(Calc!$B$4=0,$B110&gt;IF(Start!$D$10="Avalanche",Calc!$B$3,Calc!$B$2)),Calc!$B$8=0),"",IF(N(L109)&lt;=0.005,"",IF(Start!$D$10="Avalanche",INDEX(Calc!LB$75:LB$89,Calc!$F$8),INDEX(Calc!LB$50:LB$64,Calc!$D$8))))</f>
        <v/>
      </c>
      <c r="M110" s="20">
        <f>IF(N110="","",N(N109)*(1+Start!$E$17/12)-N110)</f>
        <v/>
      </c>
      <c r="N110" s="20">
        <f>IF(OR(OR(Calc!$B$4=0,$B110&gt;IF(Start!$D$10="Avalanche",Calc!$B$3,Calc!$B$2)),Calc!$B$9=0),"",IF(N(N109)&lt;=0.005,"",IF(Start!$D$10="Avalanche",INDEX(Calc!LB$75:LB$89,Calc!$F$9),INDEX(Calc!LB$50:LB$64,Calc!$D$9))))</f>
        <v/>
      </c>
      <c r="O110" s="20">
        <f>IF(P110="","",N(P109)*(1+Start!$E$18/12)-P110)</f>
        <v/>
      </c>
      <c r="P110" s="20">
        <f>IF(OR(OR(Calc!$B$4=0,$B110&gt;IF(Start!$D$10="Avalanche",Calc!$B$3,Calc!$B$2)),Calc!$B$10=0),"",IF(N(P109)&lt;=0.005,"",IF(Start!$D$10="Avalanche",INDEX(Calc!LB$75:LB$89,Calc!$F$10),INDEX(Calc!LB$50:LB$64,Calc!$D$10))))</f>
        <v/>
      </c>
      <c r="Q110" s="20">
        <f>IF(R110="","",N(R109)*(1+Start!$E$19/12)-R110)</f>
        <v/>
      </c>
      <c r="R110" s="20">
        <f>IF(OR(OR(Calc!$B$4=0,$B110&gt;IF(Start!$D$10="Avalanche",Calc!$B$3,Calc!$B$2)),Calc!$B$11=0),"",IF(N(R109)&lt;=0.005,"",IF(Start!$D$10="Avalanche",INDEX(Calc!LB$75:LB$89,Calc!$F$11),INDEX(Calc!LB$50:LB$64,Calc!$D$11))))</f>
        <v/>
      </c>
      <c r="S110" s="20">
        <f>IF(T110="","",N(T109)*(1+Start!$E$20/12)-T110)</f>
        <v/>
      </c>
      <c r="T110" s="20">
        <f>IF(OR(OR(Calc!$B$4=0,$B110&gt;IF(Start!$D$10="Avalanche",Calc!$B$3,Calc!$B$2)),Calc!$B$12=0),"",IF(N(T109)&lt;=0.005,"",IF(Start!$D$10="Avalanche",INDEX(Calc!LB$75:LB$89,Calc!$F$12),INDEX(Calc!LB$50:LB$64,Calc!$D$12))))</f>
        <v/>
      </c>
      <c r="U110" s="20">
        <f>IF(V110="","",N(V109)*(1+Start!$E$21/12)-V110)</f>
        <v/>
      </c>
      <c r="V110" s="20">
        <f>IF(OR(OR(Calc!$B$4=0,$B110&gt;IF(Start!$D$10="Avalanche",Calc!$B$3,Calc!$B$2)),Calc!$B$13=0),"",IF(N(V109)&lt;=0.005,"",IF(Start!$D$10="Avalanche",INDEX(Calc!LB$75:LB$89,Calc!$F$13),INDEX(Calc!LB$50:LB$64,Calc!$D$13))))</f>
        <v/>
      </c>
      <c r="W110" s="20">
        <f>IF(X110="","",N(X109)*(1+Start!$E$22/12)-X110)</f>
        <v/>
      </c>
      <c r="X110" s="20">
        <f>IF(OR(OR(Calc!$B$4=0,$B110&gt;IF(Start!$D$10="Avalanche",Calc!$B$3,Calc!$B$2)),Calc!$B$14=0),"",IF(N(X109)&lt;=0.005,"",IF(Start!$D$10="Avalanche",INDEX(Calc!LB$75:LB$89,Calc!$F$14),INDEX(Calc!LB$50:LB$64,Calc!$D$14))))</f>
        <v/>
      </c>
      <c r="Y110" s="20">
        <f>IF(Z110="","",N(Z109)*(1+Start!$E$23/12)-Z110)</f>
        <v/>
      </c>
      <c r="Z110" s="20">
        <f>IF(OR(OR(Calc!$B$4=0,$B110&gt;IF(Start!$D$10="Avalanche",Calc!$B$3,Calc!$B$2)),Calc!$B$15=0),"",IF(N(Z109)&lt;=0.005,"",IF(Start!$D$10="Avalanche",INDEX(Calc!LB$75:LB$89,Calc!$F$15),INDEX(Calc!LB$50:LB$64,Calc!$D$15))))</f>
        <v/>
      </c>
      <c r="AA110" s="20">
        <f>IF(AB110="","",N(AB109)*(1+Start!$E$24/12)-AB110)</f>
        <v/>
      </c>
      <c r="AB110" s="20">
        <f>IF(OR(OR(Calc!$B$4=0,$B110&gt;IF(Start!$D$10="Avalanche",Calc!$B$3,Calc!$B$2)),Calc!$B$16=0),"",IF(N(AB109)&lt;=0.005,"",IF(Start!$D$10="Avalanche",INDEX(Calc!LB$75:LB$89,Calc!$F$16),INDEX(Calc!LB$50:LB$64,Calc!$D$16))))</f>
        <v/>
      </c>
      <c r="AC110" s="20">
        <f>IF(AD110="","",N(AD109)*(1+Start!$E$25/12)-AD110)</f>
        <v/>
      </c>
      <c r="AD110" s="20">
        <f>IF(OR(OR(Calc!$B$4=0,$B110&gt;IF(Start!$D$10="Avalanche",Calc!$B$3,Calc!$B$2)),Calc!$B$17=0),"",IF(N(AD109)&lt;=0.005,"",IF(Start!$D$10="Avalanche",INDEX(Calc!LB$75:LB$89,Calc!$F$17),INDEX(Calc!LB$50:LB$64,Calc!$D$17))))</f>
        <v/>
      </c>
      <c r="AE110" s="20">
        <f>IF(AF110="","",N(AF109)*(1+Start!$E$26/12)-AF110)</f>
        <v/>
      </c>
      <c r="AF110" s="20">
        <f>IF(OR(OR(Calc!$B$4=0,$B110&gt;IF(Start!$D$10="Avalanche",Calc!$B$3,Calc!$B$2)),Calc!$B$18=0),"",IF(N(AF109)&lt;=0.005,"",IF(Start!$D$10="Avalanche",INDEX(Calc!LB$75:LB$89,Calc!$F$18),INDEX(Calc!LB$50:LB$64,Calc!$D$18))))</f>
        <v/>
      </c>
      <c r="AG110" s="20">
        <f>IF(AH110="","",N(AH109)*(1+Start!$E$27/12)-AH110)</f>
        <v/>
      </c>
      <c r="AH110" s="20">
        <f>IF(OR(OR(Calc!$B$4=0,$B110&gt;IF(Start!$D$10="Avalanche",Calc!$B$3,Calc!$B$2)),Calc!$B$19=0),"",IF(N(AH109)&lt;=0.005,"",IF(Start!$D$10="Avalanche",INDEX(Calc!LB$75:LB$89,Calc!$F$19),INDEX(Calc!LB$50:LB$64,Calc!$D$19))))</f>
        <v/>
      </c>
      <c r="AI110" s="20">
        <f>IF(AJ110="","",N(AJ109)*(1+Start!$E$28/12)-AJ110)</f>
        <v/>
      </c>
      <c r="AJ110" s="20">
        <f>IF(OR(OR(Calc!$B$4=0,$B110&gt;IF(Start!$D$10="Avalanche",Calc!$B$3,Calc!$B$2)),Calc!$B$20=0),"",IF(N(AJ109)&lt;=0.005,"",IF(Start!$D$10="Avalanche",INDEX(Calc!LB$75:LB$89,Calc!$F$20),INDEX(Calc!LB$50:LB$64,Calc!$D$20))))</f>
        <v/>
      </c>
    </row>
    <row r="111">
      <c r="B111" s="17" t="n">
        <v>105</v>
      </c>
      <c r="C111" s="19">
        <f>IF(Calc!$B$4=0,"",EDATE(Start!$D$11,104))</f>
        <v/>
      </c>
      <c r="D111" s="20">
        <f>IF(OR(Calc!$B$4=0,$B111&gt;IF(Start!$D$10="Avalanche",Calc!$B$3,Calc!$B$2)),"",SUM(G111,I111,K111,M111,O111,Q111,S111,U111,W111,Y111,AA111,AC111,AE111,AG111,AI111))</f>
        <v/>
      </c>
      <c r="E111" s="20">
        <f>IF(OR(Calc!$B$4=0,$B111&gt;IF(Start!$D$10="Avalanche",Calc!$B$3,Calc!$B$2)),"",IF(Start!$D$10="Avalanche",Calc!LC$72,Calc!LC$47))</f>
        <v/>
      </c>
      <c r="F111" s="21">
        <f>IF(Calc!$B$4=0,"",IF($B111&gt;IF(Start!$D$10="Avalanche",Calc!$B$3,Calc!$B$2),NA(),SUM(H111,J111,L111,N111,P111,R111,T111,V111,X111,Z111,AB111,AD111,AF111,AH111,AJ111)))</f>
        <v/>
      </c>
      <c r="G111" s="20">
        <f>IF(H111="","",N(H110)*(1+Start!$E$14/12)-H111)</f>
        <v/>
      </c>
      <c r="H111" s="20">
        <f>IF(OR(OR(Calc!$B$4=0,$B111&gt;IF(Start!$D$10="Avalanche",Calc!$B$3,Calc!$B$2)),Calc!$B$6=0),"",IF(N(H110)&lt;=0.005,"",IF(Start!$D$10="Avalanche",INDEX(Calc!LE$75:LE$89,Calc!$F$6),INDEX(Calc!LE$50:LE$64,Calc!$D$6))))</f>
        <v/>
      </c>
      <c r="I111" s="20">
        <f>IF(J111="","",N(J110)*(1+Start!$E$15/12)-J111)</f>
        <v/>
      </c>
      <c r="J111" s="20">
        <f>IF(OR(OR(Calc!$B$4=0,$B111&gt;IF(Start!$D$10="Avalanche",Calc!$B$3,Calc!$B$2)),Calc!$B$7=0),"",IF(N(J110)&lt;=0.005,"",IF(Start!$D$10="Avalanche",INDEX(Calc!LE$75:LE$89,Calc!$F$7),INDEX(Calc!LE$50:LE$64,Calc!$D$7))))</f>
        <v/>
      </c>
      <c r="K111" s="20">
        <f>IF(L111="","",N(L110)*(1+Start!$E$16/12)-L111)</f>
        <v/>
      </c>
      <c r="L111" s="20">
        <f>IF(OR(OR(Calc!$B$4=0,$B111&gt;IF(Start!$D$10="Avalanche",Calc!$B$3,Calc!$B$2)),Calc!$B$8=0),"",IF(N(L110)&lt;=0.005,"",IF(Start!$D$10="Avalanche",INDEX(Calc!LE$75:LE$89,Calc!$F$8),INDEX(Calc!LE$50:LE$64,Calc!$D$8))))</f>
        <v/>
      </c>
      <c r="M111" s="20">
        <f>IF(N111="","",N(N110)*(1+Start!$E$17/12)-N111)</f>
        <v/>
      </c>
      <c r="N111" s="20">
        <f>IF(OR(OR(Calc!$B$4=0,$B111&gt;IF(Start!$D$10="Avalanche",Calc!$B$3,Calc!$B$2)),Calc!$B$9=0),"",IF(N(N110)&lt;=0.005,"",IF(Start!$D$10="Avalanche",INDEX(Calc!LE$75:LE$89,Calc!$F$9),INDEX(Calc!LE$50:LE$64,Calc!$D$9))))</f>
        <v/>
      </c>
      <c r="O111" s="20">
        <f>IF(P111="","",N(P110)*(1+Start!$E$18/12)-P111)</f>
        <v/>
      </c>
      <c r="P111" s="20">
        <f>IF(OR(OR(Calc!$B$4=0,$B111&gt;IF(Start!$D$10="Avalanche",Calc!$B$3,Calc!$B$2)),Calc!$B$10=0),"",IF(N(P110)&lt;=0.005,"",IF(Start!$D$10="Avalanche",INDEX(Calc!LE$75:LE$89,Calc!$F$10),INDEX(Calc!LE$50:LE$64,Calc!$D$10))))</f>
        <v/>
      </c>
      <c r="Q111" s="20">
        <f>IF(R111="","",N(R110)*(1+Start!$E$19/12)-R111)</f>
        <v/>
      </c>
      <c r="R111" s="20">
        <f>IF(OR(OR(Calc!$B$4=0,$B111&gt;IF(Start!$D$10="Avalanche",Calc!$B$3,Calc!$B$2)),Calc!$B$11=0),"",IF(N(R110)&lt;=0.005,"",IF(Start!$D$10="Avalanche",INDEX(Calc!LE$75:LE$89,Calc!$F$11),INDEX(Calc!LE$50:LE$64,Calc!$D$11))))</f>
        <v/>
      </c>
      <c r="S111" s="20">
        <f>IF(T111="","",N(T110)*(1+Start!$E$20/12)-T111)</f>
        <v/>
      </c>
      <c r="T111" s="20">
        <f>IF(OR(OR(Calc!$B$4=0,$B111&gt;IF(Start!$D$10="Avalanche",Calc!$B$3,Calc!$B$2)),Calc!$B$12=0),"",IF(N(T110)&lt;=0.005,"",IF(Start!$D$10="Avalanche",INDEX(Calc!LE$75:LE$89,Calc!$F$12),INDEX(Calc!LE$50:LE$64,Calc!$D$12))))</f>
        <v/>
      </c>
      <c r="U111" s="20">
        <f>IF(V111="","",N(V110)*(1+Start!$E$21/12)-V111)</f>
        <v/>
      </c>
      <c r="V111" s="20">
        <f>IF(OR(OR(Calc!$B$4=0,$B111&gt;IF(Start!$D$10="Avalanche",Calc!$B$3,Calc!$B$2)),Calc!$B$13=0),"",IF(N(V110)&lt;=0.005,"",IF(Start!$D$10="Avalanche",INDEX(Calc!LE$75:LE$89,Calc!$F$13),INDEX(Calc!LE$50:LE$64,Calc!$D$13))))</f>
        <v/>
      </c>
      <c r="W111" s="20">
        <f>IF(X111="","",N(X110)*(1+Start!$E$22/12)-X111)</f>
        <v/>
      </c>
      <c r="X111" s="20">
        <f>IF(OR(OR(Calc!$B$4=0,$B111&gt;IF(Start!$D$10="Avalanche",Calc!$B$3,Calc!$B$2)),Calc!$B$14=0),"",IF(N(X110)&lt;=0.005,"",IF(Start!$D$10="Avalanche",INDEX(Calc!LE$75:LE$89,Calc!$F$14),INDEX(Calc!LE$50:LE$64,Calc!$D$14))))</f>
        <v/>
      </c>
      <c r="Y111" s="20">
        <f>IF(Z111="","",N(Z110)*(1+Start!$E$23/12)-Z111)</f>
        <v/>
      </c>
      <c r="Z111" s="20">
        <f>IF(OR(OR(Calc!$B$4=0,$B111&gt;IF(Start!$D$10="Avalanche",Calc!$B$3,Calc!$B$2)),Calc!$B$15=0),"",IF(N(Z110)&lt;=0.005,"",IF(Start!$D$10="Avalanche",INDEX(Calc!LE$75:LE$89,Calc!$F$15),INDEX(Calc!LE$50:LE$64,Calc!$D$15))))</f>
        <v/>
      </c>
      <c r="AA111" s="20">
        <f>IF(AB111="","",N(AB110)*(1+Start!$E$24/12)-AB111)</f>
        <v/>
      </c>
      <c r="AB111" s="20">
        <f>IF(OR(OR(Calc!$B$4=0,$B111&gt;IF(Start!$D$10="Avalanche",Calc!$B$3,Calc!$B$2)),Calc!$B$16=0),"",IF(N(AB110)&lt;=0.005,"",IF(Start!$D$10="Avalanche",INDEX(Calc!LE$75:LE$89,Calc!$F$16),INDEX(Calc!LE$50:LE$64,Calc!$D$16))))</f>
        <v/>
      </c>
      <c r="AC111" s="20">
        <f>IF(AD111="","",N(AD110)*(1+Start!$E$25/12)-AD111)</f>
        <v/>
      </c>
      <c r="AD111" s="20">
        <f>IF(OR(OR(Calc!$B$4=0,$B111&gt;IF(Start!$D$10="Avalanche",Calc!$B$3,Calc!$B$2)),Calc!$B$17=0),"",IF(N(AD110)&lt;=0.005,"",IF(Start!$D$10="Avalanche",INDEX(Calc!LE$75:LE$89,Calc!$F$17),INDEX(Calc!LE$50:LE$64,Calc!$D$17))))</f>
        <v/>
      </c>
      <c r="AE111" s="20">
        <f>IF(AF111="","",N(AF110)*(1+Start!$E$26/12)-AF111)</f>
        <v/>
      </c>
      <c r="AF111" s="20">
        <f>IF(OR(OR(Calc!$B$4=0,$B111&gt;IF(Start!$D$10="Avalanche",Calc!$B$3,Calc!$B$2)),Calc!$B$18=0),"",IF(N(AF110)&lt;=0.005,"",IF(Start!$D$10="Avalanche",INDEX(Calc!LE$75:LE$89,Calc!$F$18),INDEX(Calc!LE$50:LE$64,Calc!$D$18))))</f>
        <v/>
      </c>
      <c r="AG111" s="20">
        <f>IF(AH111="","",N(AH110)*(1+Start!$E$27/12)-AH111)</f>
        <v/>
      </c>
      <c r="AH111" s="20">
        <f>IF(OR(OR(Calc!$B$4=0,$B111&gt;IF(Start!$D$10="Avalanche",Calc!$B$3,Calc!$B$2)),Calc!$B$19=0),"",IF(N(AH110)&lt;=0.005,"",IF(Start!$D$10="Avalanche",INDEX(Calc!LE$75:LE$89,Calc!$F$19),INDEX(Calc!LE$50:LE$64,Calc!$D$19))))</f>
        <v/>
      </c>
      <c r="AI111" s="20">
        <f>IF(AJ111="","",N(AJ110)*(1+Start!$E$28/12)-AJ111)</f>
        <v/>
      </c>
      <c r="AJ111" s="20">
        <f>IF(OR(OR(Calc!$B$4=0,$B111&gt;IF(Start!$D$10="Avalanche",Calc!$B$3,Calc!$B$2)),Calc!$B$20=0),"",IF(N(AJ110)&lt;=0.005,"",IF(Start!$D$10="Avalanche",INDEX(Calc!LE$75:LE$89,Calc!$F$20),INDEX(Calc!LE$50:LE$64,Calc!$D$20))))</f>
        <v/>
      </c>
    </row>
    <row r="112">
      <c r="B112" s="17" t="n">
        <v>106</v>
      </c>
      <c r="C112" s="19">
        <f>IF(Calc!$B$4=0,"",EDATE(Start!$D$11,105))</f>
        <v/>
      </c>
      <c r="D112" s="20">
        <f>IF(OR(Calc!$B$4=0,$B112&gt;IF(Start!$D$10="Avalanche",Calc!$B$3,Calc!$B$2)),"",SUM(G112,I112,K112,M112,O112,Q112,S112,U112,W112,Y112,AA112,AC112,AE112,AG112,AI112))</f>
        <v/>
      </c>
      <c r="E112" s="20">
        <f>IF(OR(Calc!$B$4=0,$B112&gt;IF(Start!$D$10="Avalanche",Calc!$B$3,Calc!$B$2)),"",IF(Start!$D$10="Avalanche",Calc!LF$72,Calc!LF$47))</f>
        <v/>
      </c>
      <c r="F112" s="21">
        <f>IF(Calc!$B$4=0,"",IF($B112&gt;IF(Start!$D$10="Avalanche",Calc!$B$3,Calc!$B$2),NA(),SUM(H112,J112,L112,N112,P112,R112,T112,V112,X112,Z112,AB112,AD112,AF112,AH112,AJ112)))</f>
        <v/>
      </c>
      <c r="G112" s="20">
        <f>IF(H112="","",N(H111)*(1+Start!$E$14/12)-H112)</f>
        <v/>
      </c>
      <c r="H112" s="20">
        <f>IF(OR(OR(Calc!$B$4=0,$B112&gt;IF(Start!$D$10="Avalanche",Calc!$B$3,Calc!$B$2)),Calc!$B$6=0),"",IF(N(H111)&lt;=0.005,"",IF(Start!$D$10="Avalanche",INDEX(Calc!LH$75:LH$89,Calc!$F$6),INDEX(Calc!LH$50:LH$64,Calc!$D$6))))</f>
        <v/>
      </c>
      <c r="I112" s="20">
        <f>IF(J112="","",N(J111)*(1+Start!$E$15/12)-J112)</f>
        <v/>
      </c>
      <c r="J112" s="20">
        <f>IF(OR(OR(Calc!$B$4=0,$B112&gt;IF(Start!$D$10="Avalanche",Calc!$B$3,Calc!$B$2)),Calc!$B$7=0),"",IF(N(J111)&lt;=0.005,"",IF(Start!$D$10="Avalanche",INDEX(Calc!LH$75:LH$89,Calc!$F$7),INDEX(Calc!LH$50:LH$64,Calc!$D$7))))</f>
        <v/>
      </c>
      <c r="K112" s="20">
        <f>IF(L112="","",N(L111)*(1+Start!$E$16/12)-L112)</f>
        <v/>
      </c>
      <c r="L112" s="20">
        <f>IF(OR(OR(Calc!$B$4=0,$B112&gt;IF(Start!$D$10="Avalanche",Calc!$B$3,Calc!$B$2)),Calc!$B$8=0),"",IF(N(L111)&lt;=0.005,"",IF(Start!$D$10="Avalanche",INDEX(Calc!LH$75:LH$89,Calc!$F$8),INDEX(Calc!LH$50:LH$64,Calc!$D$8))))</f>
        <v/>
      </c>
      <c r="M112" s="20">
        <f>IF(N112="","",N(N111)*(1+Start!$E$17/12)-N112)</f>
        <v/>
      </c>
      <c r="N112" s="20">
        <f>IF(OR(OR(Calc!$B$4=0,$B112&gt;IF(Start!$D$10="Avalanche",Calc!$B$3,Calc!$B$2)),Calc!$B$9=0),"",IF(N(N111)&lt;=0.005,"",IF(Start!$D$10="Avalanche",INDEX(Calc!LH$75:LH$89,Calc!$F$9),INDEX(Calc!LH$50:LH$64,Calc!$D$9))))</f>
        <v/>
      </c>
      <c r="O112" s="20">
        <f>IF(P112="","",N(P111)*(1+Start!$E$18/12)-P112)</f>
        <v/>
      </c>
      <c r="P112" s="20">
        <f>IF(OR(OR(Calc!$B$4=0,$B112&gt;IF(Start!$D$10="Avalanche",Calc!$B$3,Calc!$B$2)),Calc!$B$10=0),"",IF(N(P111)&lt;=0.005,"",IF(Start!$D$10="Avalanche",INDEX(Calc!LH$75:LH$89,Calc!$F$10),INDEX(Calc!LH$50:LH$64,Calc!$D$10))))</f>
        <v/>
      </c>
      <c r="Q112" s="20">
        <f>IF(R112="","",N(R111)*(1+Start!$E$19/12)-R112)</f>
        <v/>
      </c>
      <c r="R112" s="20">
        <f>IF(OR(OR(Calc!$B$4=0,$B112&gt;IF(Start!$D$10="Avalanche",Calc!$B$3,Calc!$B$2)),Calc!$B$11=0),"",IF(N(R111)&lt;=0.005,"",IF(Start!$D$10="Avalanche",INDEX(Calc!LH$75:LH$89,Calc!$F$11),INDEX(Calc!LH$50:LH$64,Calc!$D$11))))</f>
        <v/>
      </c>
      <c r="S112" s="20">
        <f>IF(T112="","",N(T111)*(1+Start!$E$20/12)-T112)</f>
        <v/>
      </c>
      <c r="T112" s="20">
        <f>IF(OR(OR(Calc!$B$4=0,$B112&gt;IF(Start!$D$10="Avalanche",Calc!$B$3,Calc!$B$2)),Calc!$B$12=0),"",IF(N(T111)&lt;=0.005,"",IF(Start!$D$10="Avalanche",INDEX(Calc!LH$75:LH$89,Calc!$F$12),INDEX(Calc!LH$50:LH$64,Calc!$D$12))))</f>
        <v/>
      </c>
      <c r="U112" s="20">
        <f>IF(V112="","",N(V111)*(1+Start!$E$21/12)-V112)</f>
        <v/>
      </c>
      <c r="V112" s="20">
        <f>IF(OR(OR(Calc!$B$4=0,$B112&gt;IF(Start!$D$10="Avalanche",Calc!$B$3,Calc!$B$2)),Calc!$B$13=0),"",IF(N(V111)&lt;=0.005,"",IF(Start!$D$10="Avalanche",INDEX(Calc!LH$75:LH$89,Calc!$F$13),INDEX(Calc!LH$50:LH$64,Calc!$D$13))))</f>
        <v/>
      </c>
      <c r="W112" s="20">
        <f>IF(X112="","",N(X111)*(1+Start!$E$22/12)-X112)</f>
        <v/>
      </c>
      <c r="X112" s="20">
        <f>IF(OR(OR(Calc!$B$4=0,$B112&gt;IF(Start!$D$10="Avalanche",Calc!$B$3,Calc!$B$2)),Calc!$B$14=0),"",IF(N(X111)&lt;=0.005,"",IF(Start!$D$10="Avalanche",INDEX(Calc!LH$75:LH$89,Calc!$F$14),INDEX(Calc!LH$50:LH$64,Calc!$D$14))))</f>
        <v/>
      </c>
      <c r="Y112" s="20">
        <f>IF(Z112="","",N(Z111)*(1+Start!$E$23/12)-Z112)</f>
        <v/>
      </c>
      <c r="Z112" s="20">
        <f>IF(OR(OR(Calc!$B$4=0,$B112&gt;IF(Start!$D$10="Avalanche",Calc!$B$3,Calc!$B$2)),Calc!$B$15=0),"",IF(N(Z111)&lt;=0.005,"",IF(Start!$D$10="Avalanche",INDEX(Calc!LH$75:LH$89,Calc!$F$15),INDEX(Calc!LH$50:LH$64,Calc!$D$15))))</f>
        <v/>
      </c>
      <c r="AA112" s="20">
        <f>IF(AB112="","",N(AB111)*(1+Start!$E$24/12)-AB112)</f>
        <v/>
      </c>
      <c r="AB112" s="20">
        <f>IF(OR(OR(Calc!$B$4=0,$B112&gt;IF(Start!$D$10="Avalanche",Calc!$B$3,Calc!$B$2)),Calc!$B$16=0),"",IF(N(AB111)&lt;=0.005,"",IF(Start!$D$10="Avalanche",INDEX(Calc!LH$75:LH$89,Calc!$F$16),INDEX(Calc!LH$50:LH$64,Calc!$D$16))))</f>
        <v/>
      </c>
      <c r="AC112" s="20">
        <f>IF(AD112="","",N(AD111)*(1+Start!$E$25/12)-AD112)</f>
        <v/>
      </c>
      <c r="AD112" s="20">
        <f>IF(OR(OR(Calc!$B$4=0,$B112&gt;IF(Start!$D$10="Avalanche",Calc!$B$3,Calc!$B$2)),Calc!$B$17=0),"",IF(N(AD111)&lt;=0.005,"",IF(Start!$D$10="Avalanche",INDEX(Calc!LH$75:LH$89,Calc!$F$17),INDEX(Calc!LH$50:LH$64,Calc!$D$17))))</f>
        <v/>
      </c>
      <c r="AE112" s="20">
        <f>IF(AF112="","",N(AF111)*(1+Start!$E$26/12)-AF112)</f>
        <v/>
      </c>
      <c r="AF112" s="20">
        <f>IF(OR(OR(Calc!$B$4=0,$B112&gt;IF(Start!$D$10="Avalanche",Calc!$B$3,Calc!$B$2)),Calc!$B$18=0),"",IF(N(AF111)&lt;=0.005,"",IF(Start!$D$10="Avalanche",INDEX(Calc!LH$75:LH$89,Calc!$F$18),INDEX(Calc!LH$50:LH$64,Calc!$D$18))))</f>
        <v/>
      </c>
      <c r="AG112" s="20">
        <f>IF(AH112="","",N(AH111)*(1+Start!$E$27/12)-AH112)</f>
        <v/>
      </c>
      <c r="AH112" s="20">
        <f>IF(OR(OR(Calc!$B$4=0,$B112&gt;IF(Start!$D$10="Avalanche",Calc!$B$3,Calc!$B$2)),Calc!$B$19=0),"",IF(N(AH111)&lt;=0.005,"",IF(Start!$D$10="Avalanche",INDEX(Calc!LH$75:LH$89,Calc!$F$19),INDEX(Calc!LH$50:LH$64,Calc!$D$19))))</f>
        <v/>
      </c>
      <c r="AI112" s="20">
        <f>IF(AJ112="","",N(AJ111)*(1+Start!$E$28/12)-AJ112)</f>
        <v/>
      </c>
      <c r="AJ112" s="20">
        <f>IF(OR(OR(Calc!$B$4=0,$B112&gt;IF(Start!$D$10="Avalanche",Calc!$B$3,Calc!$B$2)),Calc!$B$20=0),"",IF(N(AJ111)&lt;=0.005,"",IF(Start!$D$10="Avalanche",INDEX(Calc!LH$75:LH$89,Calc!$F$20),INDEX(Calc!LH$50:LH$64,Calc!$D$20))))</f>
        <v/>
      </c>
    </row>
    <row r="113">
      <c r="B113" s="17" t="n">
        <v>107</v>
      </c>
      <c r="C113" s="19">
        <f>IF(Calc!$B$4=0,"",EDATE(Start!$D$11,106))</f>
        <v/>
      </c>
      <c r="D113" s="20">
        <f>IF(OR(Calc!$B$4=0,$B113&gt;IF(Start!$D$10="Avalanche",Calc!$B$3,Calc!$B$2)),"",SUM(G113,I113,K113,M113,O113,Q113,S113,U113,W113,Y113,AA113,AC113,AE113,AG113,AI113))</f>
        <v/>
      </c>
      <c r="E113" s="20">
        <f>IF(OR(Calc!$B$4=0,$B113&gt;IF(Start!$D$10="Avalanche",Calc!$B$3,Calc!$B$2)),"",IF(Start!$D$10="Avalanche",Calc!LI$72,Calc!LI$47))</f>
        <v/>
      </c>
      <c r="F113" s="21">
        <f>IF(Calc!$B$4=0,"",IF($B113&gt;IF(Start!$D$10="Avalanche",Calc!$B$3,Calc!$B$2),NA(),SUM(H113,J113,L113,N113,P113,R113,T113,V113,X113,Z113,AB113,AD113,AF113,AH113,AJ113)))</f>
        <v/>
      </c>
      <c r="G113" s="20">
        <f>IF(H113="","",N(H112)*(1+Start!$E$14/12)-H113)</f>
        <v/>
      </c>
      <c r="H113" s="20">
        <f>IF(OR(OR(Calc!$B$4=0,$B113&gt;IF(Start!$D$10="Avalanche",Calc!$B$3,Calc!$B$2)),Calc!$B$6=0),"",IF(N(H112)&lt;=0.005,"",IF(Start!$D$10="Avalanche",INDEX(Calc!LK$75:LK$89,Calc!$F$6),INDEX(Calc!LK$50:LK$64,Calc!$D$6))))</f>
        <v/>
      </c>
      <c r="I113" s="20">
        <f>IF(J113="","",N(J112)*(1+Start!$E$15/12)-J113)</f>
        <v/>
      </c>
      <c r="J113" s="20">
        <f>IF(OR(OR(Calc!$B$4=0,$B113&gt;IF(Start!$D$10="Avalanche",Calc!$B$3,Calc!$B$2)),Calc!$B$7=0),"",IF(N(J112)&lt;=0.005,"",IF(Start!$D$10="Avalanche",INDEX(Calc!LK$75:LK$89,Calc!$F$7),INDEX(Calc!LK$50:LK$64,Calc!$D$7))))</f>
        <v/>
      </c>
      <c r="K113" s="20">
        <f>IF(L113="","",N(L112)*(1+Start!$E$16/12)-L113)</f>
        <v/>
      </c>
      <c r="L113" s="20">
        <f>IF(OR(OR(Calc!$B$4=0,$B113&gt;IF(Start!$D$10="Avalanche",Calc!$B$3,Calc!$B$2)),Calc!$B$8=0),"",IF(N(L112)&lt;=0.005,"",IF(Start!$D$10="Avalanche",INDEX(Calc!LK$75:LK$89,Calc!$F$8),INDEX(Calc!LK$50:LK$64,Calc!$D$8))))</f>
        <v/>
      </c>
      <c r="M113" s="20">
        <f>IF(N113="","",N(N112)*(1+Start!$E$17/12)-N113)</f>
        <v/>
      </c>
      <c r="N113" s="20">
        <f>IF(OR(OR(Calc!$B$4=0,$B113&gt;IF(Start!$D$10="Avalanche",Calc!$B$3,Calc!$B$2)),Calc!$B$9=0),"",IF(N(N112)&lt;=0.005,"",IF(Start!$D$10="Avalanche",INDEX(Calc!LK$75:LK$89,Calc!$F$9),INDEX(Calc!LK$50:LK$64,Calc!$D$9))))</f>
        <v/>
      </c>
      <c r="O113" s="20">
        <f>IF(P113="","",N(P112)*(1+Start!$E$18/12)-P113)</f>
        <v/>
      </c>
      <c r="P113" s="20">
        <f>IF(OR(OR(Calc!$B$4=0,$B113&gt;IF(Start!$D$10="Avalanche",Calc!$B$3,Calc!$B$2)),Calc!$B$10=0),"",IF(N(P112)&lt;=0.005,"",IF(Start!$D$10="Avalanche",INDEX(Calc!LK$75:LK$89,Calc!$F$10),INDEX(Calc!LK$50:LK$64,Calc!$D$10))))</f>
        <v/>
      </c>
      <c r="Q113" s="20">
        <f>IF(R113="","",N(R112)*(1+Start!$E$19/12)-R113)</f>
        <v/>
      </c>
      <c r="R113" s="20">
        <f>IF(OR(OR(Calc!$B$4=0,$B113&gt;IF(Start!$D$10="Avalanche",Calc!$B$3,Calc!$B$2)),Calc!$B$11=0),"",IF(N(R112)&lt;=0.005,"",IF(Start!$D$10="Avalanche",INDEX(Calc!LK$75:LK$89,Calc!$F$11),INDEX(Calc!LK$50:LK$64,Calc!$D$11))))</f>
        <v/>
      </c>
      <c r="S113" s="20">
        <f>IF(T113="","",N(T112)*(1+Start!$E$20/12)-T113)</f>
        <v/>
      </c>
      <c r="T113" s="20">
        <f>IF(OR(OR(Calc!$B$4=0,$B113&gt;IF(Start!$D$10="Avalanche",Calc!$B$3,Calc!$B$2)),Calc!$B$12=0),"",IF(N(T112)&lt;=0.005,"",IF(Start!$D$10="Avalanche",INDEX(Calc!LK$75:LK$89,Calc!$F$12),INDEX(Calc!LK$50:LK$64,Calc!$D$12))))</f>
        <v/>
      </c>
      <c r="U113" s="20">
        <f>IF(V113="","",N(V112)*(1+Start!$E$21/12)-V113)</f>
        <v/>
      </c>
      <c r="V113" s="20">
        <f>IF(OR(OR(Calc!$B$4=0,$B113&gt;IF(Start!$D$10="Avalanche",Calc!$B$3,Calc!$B$2)),Calc!$B$13=0),"",IF(N(V112)&lt;=0.005,"",IF(Start!$D$10="Avalanche",INDEX(Calc!LK$75:LK$89,Calc!$F$13),INDEX(Calc!LK$50:LK$64,Calc!$D$13))))</f>
        <v/>
      </c>
      <c r="W113" s="20">
        <f>IF(X113="","",N(X112)*(1+Start!$E$22/12)-X113)</f>
        <v/>
      </c>
      <c r="X113" s="20">
        <f>IF(OR(OR(Calc!$B$4=0,$B113&gt;IF(Start!$D$10="Avalanche",Calc!$B$3,Calc!$B$2)),Calc!$B$14=0),"",IF(N(X112)&lt;=0.005,"",IF(Start!$D$10="Avalanche",INDEX(Calc!LK$75:LK$89,Calc!$F$14),INDEX(Calc!LK$50:LK$64,Calc!$D$14))))</f>
        <v/>
      </c>
      <c r="Y113" s="20">
        <f>IF(Z113="","",N(Z112)*(1+Start!$E$23/12)-Z113)</f>
        <v/>
      </c>
      <c r="Z113" s="20">
        <f>IF(OR(OR(Calc!$B$4=0,$B113&gt;IF(Start!$D$10="Avalanche",Calc!$B$3,Calc!$B$2)),Calc!$B$15=0),"",IF(N(Z112)&lt;=0.005,"",IF(Start!$D$10="Avalanche",INDEX(Calc!LK$75:LK$89,Calc!$F$15),INDEX(Calc!LK$50:LK$64,Calc!$D$15))))</f>
        <v/>
      </c>
      <c r="AA113" s="20">
        <f>IF(AB113="","",N(AB112)*(1+Start!$E$24/12)-AB113)</f>
        <v/>
      </c>
      <c r="AB113" s="20">
        <f>IF(OR(OR(Calc!$B$4=0,$B113&gt;IF(Start!$D$10="Avalanche",Calc!$B$3,Calc!$B$2)),Calc!$B$16=0),"",IF(N(AB112)&lt;=0.005,"",IF(Start!$D$10="Avalanche",INDEX(Calc!LK$75:LK$89,Calc!$F$16),INDEX(Calc!LK$50:LK$64,Calc!$D$16))))</f>
        <v/>
      </c>
      <c r="AC113" s="20">
        <f>IF(AD113="","",N(AD112)*(1+Start!$E$25/12)-AD113)</f>
        <v/>
      </c>
      <c r="AD113" s="20">
        <f>IF(OR(OR(Calc!$B$4=0,$B113&gt;IF(Start!$D$10="Avalanche",Calc!$B$3,Calc!$B$2)),Calc!$B$17=0),"",IF(N(AD112)&lt;=0.005,"",IF(Start!$D$10="Avalanche",INDEX(Calc!LK$75:LK$89,Calc!$F$17),INDEX(Calc!LK$50:LK$64,Calc!$D$17))))</f>
        <v/>
      </c>
      <c r="AE113" s="20">
        <f>IF(AF113="","",N(AF112)*(1+Start!$E$26/12)-AF113)</f>
        <v/>
      </c>
      <c r="AF113" s="20">
        <f>IF(OR(OR(Calc!$B$4=0,$B113&gt;IF(Start!$D$10="Avalanche",Calc!$B$3,Calc!$B$2)),Calc!$B$18=0),"",IF(N(AF112)&lt;=0.005,"",IF(Start!$D$10="Avalanche",INDEX(Calc!LK$75:LK$89,Calc!$F$18),INDEX(Calc!LK$50:LK$64,Calc!$D$18))))</f>
        <v/>
      </c>
      <c r="AG113" s="20">
        <f>IF(AH113="","",N(AH112)*(1+Start!$E$27/12)-AH113)</f>
        <v/>
      </c>
      <c r="AH113" s="20">
        <f>IF(OR(OR(Calc!$B$4=0,$B113&gt;IF(Start!$D$10="Avalanche",Calc!$B$3,Calc!$B$2)),Calc!$B$19=0),"",IF(N(AH112)&lt;=0.005,"",IF(Start!$D$10="Avalanche",INDEX(Calc!LK$75:LK$89,Calc!$F$19),INDEX(Calc!LK$50:LK$64,Calc!$D$19))))</f>
        <v/>
      </c>
      <c r="AI113" s="20">
        <f>IF(AJ113="","",N(AJ112)*(1+Start!$E$28/12)-AJ113)</f>
        <v/>
      </c>
      <c r="AJ113" s="20">
        <f>IF(OR(OR(Calc!$B$4=0,$B113&gt;IF(Start!$D$10="Avalanche",Calc!$B$3,Calc!$B$2)),Calc!$B$20=0),"",IF(N(AJ112)&lt;=0.005,"",IF(Start!$D$10="Avalanche",INDEX(Calc!LK$75:LK$89,Calc!$F$20),INDEX(Calc!LK$50:LK$64,Calc!$D$20))))</f>
        <v/>
      </c>
    </row>
    <row r="114">
      <c r="B114" s="17" t="n">
        <v>108</v>
      </c>
      <c r="C114" s="19">
        <f>IF(Calc!$B$4=0,"",EDATE(Start!$D$11,107))</f>
        <v/>
      </c>
      <c r="D114" s="20">
        <f>IF(OR(Calc!$B$4=0,$B114&gt;IF(Start!$D$10="Avalanche",Calc!$B$3,Calc!$B$2)),"",SUM(G114,I114,K114,M114,O114,Q114,S114,U114,W114,Y114,AA114,AC114,AE114,AG114,AI114))</f>
        <v/>
      </c>
      <c r="E114" s="20">
        <f>IF(OR(Calc!$B$4=0,$B114&gt;IF(Start!$D$10="Avalanche",Calc!$B$3,Calc!$B$2)),"",IF(Start!$D$10="Avalanche",Calc!LL$72,Calc!LL$47))</f>
        <v/>
      </c>
      <c r="F114" s="21">
        <f>IF(Calc!$B$4=0,"",IF($B114&gt;IF(Start!$D$10="Avalanche",Calc!$B$3,Calc!$B$2),NA(),SUM(H114,J114,L114,N114,P114,R114,T114,V114,X114,Z114,AB114,AD114,AF114,AH114,AJ114)))</f>
        <v/>
      </c>
      <c r="G114" s="20">
        <f>IF(H114="","",N(H113)*(1+Start!$E$14/12)-H114)</f>
        <v/>
      </c>
      <c r="H114" s="20">
        <f>IF(OR(OR(Calc!$B$4=0,$B114&gt;IF(Start!$D$10="Avalanche",Calc!$B$3,Calc!$B$2)),Calc!$B$6=0),"",IF(N(H113)&lt;=0.005,"",IF(Start!$D$10="Avalanche",INDEX(Calc!LN$75:LN$89,Calc!$F$6),INDEX(Calc!LN$50:LN$64,Calc!$D$6))))</f>
        <v/>
      </c>
      <c r="I114" s="20">
        <f>IF(J114="","",N(J113)*(1+Start!$E$15/12)-J114)</f>
        <v/>
      </c>
      <c r="J114" s="20">
        <f>IF(OR(OR(Calc!$B$4=0,$B114&gt;IF(Start!$D$10="Avalanche",Calc!$B$3,Calc!$B$2)),Calc!$B$7=0),"",IF(N(J113)&lt;=0.005,"",IF(Start!$D$10="Avalanche",INDEX(Calc!LN$75:LN$89,Calc!$F$7),INDEX(Calc!LN$50:LN$64,Calc!$D$7))))</f>
        <v/>
      </c>
      <c r="K114" s="20">
        <f>IF(L114="","",N(L113)*(1+Start!$E$16/12)-L114)</f>
        <v/>
      </c>
      <c r="L114" s="20">
        <f>IF(OR(OR(Calc!$B$4=0,$B114&gt;IF(Start!$D$10="Avalanche",Calc!$B$3,Calc!$B$2)),Calc!$B$8=0),"",IF(N(L113)&lt;=0.005,"",IF(Start!$D$10="Avalanche",INDEX(Calc!LN$75:LN$89,Calc!$F$8),INDEX(Calc!LN$50:LN$64,Calc!$D$8))))</f>
        <v/>
      </c>
      <c r="M114" s="20">
        <f>IF(N114="","",N(N113)*(1+Start!$E$17/12)-N114)</f>
        <v/>
      </c>
      <c r="N114" s="20">
        <f>IF(OR(OR(Calc!$B$4=0,$B114&gt;IF(Start!$D$10="Avalanche",Calc!$B$3,Calc!$B$2)),Calc!$B$9=0),"",IF(N(N113)&lt;=0.005,"",IF(Start!$D$10="Avalanche",INDEX(Calc!LN$75:LN$89,Calc!$F$9),INDEX(Calc!LN$50:LN$64,Calc!$D$9))))</f>
        <v/>
      </c>
      <c r="O114" s="20">
        <f>IF(P114="","",N(P113)*(1+Start!$E$18/12)-P114)</f>
        <v/>
      </c>
      <c r="P114" s="20">
        <f>IF(OR(OR(Calc!$B$4=0,$B114&gt;IF(Start!$D$10="Avalanche",Calc!$B$3,Calc!$B$2)),Calc!$B$10=0),"",IF(N(P113)&lt;=0.005,"",IF(Start!$D$10="Avalanche",INDEX(Calc!LN$75:LN$89,Calc!$F$10),INDEX(Calc!LN$50:LN$64,Calc!$D$10))))</f>
        <v/>
      </c>
      <c r="Q114" s="20">
        <f>IF(R114="","",N(R113)*(1+Start!$E$19/12)-R114)</f>
        <v/>
      </c>
      <c r="R114" s="20">
        <f>IF(OR(OR(Calc!$B$4=0,$B114&gt;IF(Start!$D$10="Avalanche",Calc!$B$3,Calc!$B$2)),Calc!$B$11=0),"",IF(N(R113)&lt;=0.005,"",IF(Start!$D$10="Avalanche",INDEX(Calc!LN$75:LN$89,Calc!$F$11),INDEX(Calc!LN$50:LN$64,Calc!$D$11))))</f>
        <v/>
      </c>
      <c r="S114" s="20">
        <f>IF(T114="","",N(T113)*(1+Start!$E$20/12)-T114)</f>
        <v/>
      </c>
      <c r="T114" s="20">
        <f>IF(OR(OR(Calc!$B$4=0,$B114&gt;IF(Start!$D$10="Avalanche",Calc!$B$3,Calc!$B$2)),Calc!$B$12=0),"",IF(N(T113)&lt;=0.005,"",IF(Start!$D$10="Avalanche",INDEX(Calc!LN$75:LN$89,Calc!$F$12),INDEX(Calc!LN$50:LN$64,Calc!$D$12))))</f>
        <v/>
      </c>
      <c r="U114" s="20">
        <f>IF(V114="","",N(V113)*(1+Start!$E$21/12)-V114)</f>
        <v/>
      </c>
      <c r="V114" s="20">
        <f>IF(OR(OR(Calc!$B$4=0,$B114&gt;IF(Start!$D$10="Avalanche",Calc!$B$3,Calc!$B$2)),Calc!$B$13=0),"",IF(N(V113)&lt;=0.005,"",IF(Start!$D$10="Avalanche",INDEX(Calc!LN$75:LN$89,Calc!$F$13),INDEX(Calc!LN$50:LN$64,Calc!$D$13))))</f>
        <v/>
      </c>
      <c r="W114" s="20">
        <f>IF(X114="","",N(X113)*(1+Start!$E$22/12)-X114)</f>
        <v/>
      </c>
      <c r="X114" s="20">
        <f>IF(OR(OR(Calc!$B$4=0,$B114&gt;IF(Start!$D$10="Avalanche",Calc!$B$3,Calc!$B$2)),Calc!$B$14=0),"",IF(N(X113)&lt;=0.005,"",IF(Start!$D$10="Avalanche",INDEX(Calc!LN$75:LN$89,Calc!$F$14),INDEX(Calc!LN$50:LN$64,Calc!$D$14))))</f>
        <v/>
      </c>
      <c r="Y114" s="20">
        <f>IF(Z114="","",N(Z113)*(1+Start!$E$23/12)-Z114)</f>
        <v/>
      </c>
      <c r="Z114" s="20">
        <f>IF(OR(OR(Calc!$B$4=0,$B114&gt;IF(Start!$D$10="Avalanche",Calc!$B$3,Calc!$B$2)),Calc!$B$15=0),"",IF(N(Z113)&lt;=0.005,"",IF(Start!$D$10="Avalanche",INDEX(Calc!LN$75:LN$89,Calc!$F$15),INDEX(Calc!LN$50:LN$64,Calc!$D$15))))</f>
        <v/>
      </c>
      <c r="AA114" s="20">
        <f>IF(AB114="","",N(AB113)*(1+Start!$E$24/12)-AB114)</f>
        <v/>
      </c>
      <c r="AB114" s="20">
        <f>IF(OR(OR(Calc!$B$4=0,$B114&gt;IF(Start!$D$10="Avalanche",Calc!$B$3,Calc!$B$2)),Calc!$B$16=0),"",IF(N(AB113)&lt;=0.005,"",IF(Start!$D$10="Avalanche",INDEX(Calc!LN$75:LN$89,Calc!$F$16),INDEX(Calc!LN$50:LN$64,Calc!$D$16))))</f>
        <v/>
      </c>
      <c r="AC114" s="20">
        <f>IF(AD114="","",N(AD113)*(1+Start!$E$25/12)-AD114)</f>
        <v/>
      </c>
      <c r="AD114" s="20">
        <f>IF(OR(OR(Calc!$B$4=0,$B114&gt;IF(Start!$D$10="Avalanche",Calc!$B$3,Calc!$B$2)),Calc!$B$17=0),"",IF(N(AD113)&lt;=0.005,"",IF(Start!$D$10="Avalanche",INDEX(Calc!LN$75:LN$89,Calc!$F$17),INDEX(Calc!LN$50:LN$64,Calc!$D$17))))</f>
        <v/>
      </c>
      <c r="AE114" s="20">
        <f>IF(AF114="","",N(AF113)*(1+Start!$E$26/12)-AF114)</f>
        <v/>
      </c>
      <c r="AF114" s="20">
        <f>IF(OR(OR(Calc!$B$4=0,$B114&gt;IF(Start!$D$10="Avalanche",Calc!$B$3,Calc!$B$2)),Calc!$B$18=0),"",IF(N(AF113)&lt;=0.005,"",IF(Start!$D$10="Avalanche",INDEX(Calc!LN$75:LN$89,Calc!$F$18),INDEX(Calc!LN$50:LN$64,Calc!$D$18))))</f>
        <v/>
      </c>
      <c r="AG114" s="20">
        <f>IF(AH114="","",N(AH113)*(1+Start!$E$27/12)-AH114)</f>
        <v/>
      </c>
      <c r="AH114" s="20">
        <f>IF(OR(OR(Calc!$B$4=0,$B114&gt;IF(Start!$D$10="Avalanche",Calc!$B$3,Calc!$B$2)),Calc!$B$19=0),"",IF(N(AH113)&lt;=0.005,"",IF(Start!$D$10="Avalanche",INDEX(Calc!LN$75:LN$89,Calc!$F$19),INDEX(Calc!LN$50:LN$64,Calc!$D$19))))</f>
        <v/>
      </c>
      <c r="AI114" s="20">
        <f>IF(AJ114="","",N(AJ113)*(1+Start!$E$28/12)-AJ114)</f>
        <v/>
      </c>
      <c r="AJ114" s="20">
        <f>IF(OR(OR(Calc!$B$4=0,$B114&gt;IF(Start!$D$10="Avalanche",Calc!$B$3,Calc!$B$2)),Calc!$B$20=0),"",IF(N(AJ113)&lt;=0.005,"",IF(Start!$D$10="Avalanche",INDEX(Calc!LN$75:LN$89,Calc!$F$20),INDEX(Calc!LN$50:LN$64,Calc!$D$20))))</f>
        <v/>
      </c>
    </row>
    <row r="115">
      <c r="B115" s="17" t="n">
        <v>109</v>
      </c>
      <c r="C115" s="19">
        <f>IF(Calc!$B$4=0,"",EDATE(Start!$D$11,108))</f>
        <v/>
      </c>
      <c r="D115" s="20">
        <f>IF(OR(Calc!$B$4=0,$B115&gt;IF(Start!$D$10="Avalanche",Calc!$B$3,Calc!$B$2)),"",SUM(G115,I115,K115,M115,O115,Q115,S115,U115,W115,Y115,AA115,AC115,AE115,AG115,AI115))</f>
        <v/>
      </c>
      <c r="E115" s="20">
        <f>IF(OR(Calc!$B$4=0,$B115&gt;IF(Start!$D$10="Avalanche",Calc!$B$3,Calc!$B$2)),"",IF(Start!$D$10="Avalanche",Calc!LO$72,Calc!LO$47))</f>
        <v/>
      </c>
      <c r="F115" s="21">
        <f>IF(Calc!$B$4=0,"",IF($B115&gt;IF(Start!$D$10="Avalanche",Calc!$B$3,Calc!$B$2),NA(),SUM(H115,J115,L115,N115,P115,R115,T115,V115,X115,Z115,AB115,AD115,AF115,AH115,AJ115)))</f>
        <v/>
      </c>
      <c r="G115" s="20">
        <f>IF(H115="","",N(H114)*(1+Start!$E$14/12)-H115)</f>
        <v/>
      </c>
      <c r="H115" s="20">
        <f>IF(OR(OR(Calc!$B$4=0,$B115&gt;IF(Start!$D$10="Avalanche",Calc!$B$3,Calc!$B$2)),Calc!$B$6=0),"",IF(N(H114)&lt;=0.005,"",IF(Start!$D$10="Avalanche",INDEX(Calc!LQ$75:LQ$89,Calc!$F$6),INDEX(Calc!LQ$50:LQ$64,Calc!$D$6))))</f>
        <v/>
      </c>
      <c r="I115" s="20">
        <f>IF(J115="","",N(J114)*(1+Start!$E$15/12)-J115)</f>
        <v/>
      </c>
      <c r="J115" s="20">
        <f>IF(OR(OR(Calc!$B$4=0,$B115&gt;IF(Start!$D$10="Avalanche",Calc!$B$3,Calc!$B$2)),Calc!$B$7=0),"",IF(N(J114)&lt;=0.005,"",IF(Start!$D$10="Avalanche",INDEX(Calc!LQ$75:LQ$89,Calc!$F$7),INDEX(Calc!LQ$50:LQ$64,Calc!$D$7))))</f>
        <v/>
      </c>
      <c r="K115" s="20">
        <f>IF(L115="","",N(L114)*(1+Start!$E$16/12)-L115)</f>
        <v/>
      </c>
      <c r="L115" s="20">
        <f>IF(OR(OR(Calc!$B$4=0,$B115&gt;IF(Start!$D$10="Avalanche",Calc!$B$3,Calc!$B$2)),Calc!$B$8=0),"",IF(N(L114)&lt;=0.005,"",IF(Start!$D$10="Avalanche",INDEX(Calc!LQ$75:LQ$89,Calc!$F$8),INDEX(Calc!LQ$50:LQ$64,Calc!$D$8))))</f>
        <v/>
      </c>
      <c r="M115" s="20">
        <f>IF(N115="","",N(N114)*(1+Start!$E$17/12)-N115)</f>
        <v/>
      </c>
      <c r="N115" s="20">
        <f>IF(OR(OR(Calc!$B$4=0,$B115&gt;IF(Start!$D$10="Avalanche",Calc!$B$3,Calc!$B$2)),Calc!$B$9=0),"",IF(N(N114)&lt;=0.005,"",IF(Start!$D$10="Avalanche",INDEX(Calc!LQ$75:LQ$89,Calc!$F$9),INDEX(Calc!LQ$50:LQ$64,Calc!$D$9))))</f>
        <v/>
      </c>
      <c r="O115" s="20">
        <f>IF(P115="","",N(P114)*(1+Start!$E$18/12)-P115)</f>
        <v/>
      </c>
      <c r="P115" s="20">
        <f>IF(OR(OR(Calc!$B$4=0,$B115&gt;IF(Start!$D$10="Avalanche",Calc!$B$3,Calc!$B$2)),Calc!$B$10=0),"",IF(N(P114)&lt;=0.005,"",IF(Start!$D$10="Avalanche",INDEX(Calc!LQ$75:LQ$89,Calc!$F$10),INDEX(Calc!LQ$50:LQ$64,Calc!$D$10))))</f>
        <v/>
      </c>
      <c r="Q115" s="20">
        <f>IF(R115="","",N(R114)*(1+Start!$E$19/12)-R115)</f>
        <v/>
      </c>
      <c r="R115" s="20">
        <f>IF(OR(OR(Calc!$B$4=0,$B115&gt;IF(Start!$D$10="Avalanche",Calc!$B$3,Calc!$B$2)),Calc!$B$11=0),"",IF(N(R114)&lt;=0.005,"",IF(Start!$D$10="Avalanche",INDEX(Calc!LQ$75:LQ$89,Calc!$F$11),INDEX(Calc!LQ$50:LQ$64,Calc!$D$11))))</f>
        <v/>
      </c>
      <c r="S115" s="20">
        <f>IF(T115="","",N(T114)*(1+Start!$E$20/12)-T115)</f>
        <v/>
      </c>
      <c r="T115" s="20">
        <f>IF(OR(OR(Calc!$B$4=0,$B115&gt;IF(Start!$D$10="Avalanche",Calc!$B$3,Calc!$B$2)),Calc!$B$12=0),"",IF(N(T114)&lt;=0.005,"",IF(Start!$D$10="Avalanche",INDEX(Calc!LQ$75:LQ$89,Calc!$F$12),INDEX(Calc!LQ$50:LQ$64,Calc!$D$12))))</f>
        <v/>
      </c>
      <c r="U115" s="20">
        <f>IF(V115="","",N(V114)*(1+Start!$E$21/12)-V115)</f>
        <v/>
      </c>
      <c r="V115" s="20">
        <f>IF(OR(OR(Calc!$B$4=0,$B115&gt;IF(Start!$D$10="Avalanche",Calc!$B$3,Calc!$B$2)),Calc!$B$13=0),"",IF(N(V114)&lt;=0.005,"",IF(Start!$D$10="Avalanche",INDEX(Calc!LQ$75:LQ$89,Calc!$F$13),INDEX(Calc!LQ$50:LQ$64,Calc!$D$13))))</f>
        <v/>
      </c>
      <c r="W115" s="20">
        <f>IF(X115="","",N(X114)*(1+Start!$E$22/12)-X115)</f>
        <v/>
      </c>
      <c r="X115" s="20">
        <f>IF(OR(OR(Calc!$B$4=0,$B115&gt;IF(Start!$D$10="Avalanche",Calc!$B$3,Calc!$B$2)),Calc!$B$14=0),"",IF(N(X114)&lt;=0.005,"",IF(Start!$D$10="Avalanche",INDEX(Calc!LQ$75:LQ$89,Calc!$F$14),INDEX(Calc!LQ$50:LQ$64,Calc!$D$14))))</f>
        <v/>
      </c>
      <c r="Y115" s="20">
        <f>IF(Z115="","",N(Z114)*(1+Start!$E$23/12)-Z115)</f>
        <v/>
      </c>
      <c r="Z115" s="20">
        <f>IF(OR(OR(Calc!$B$4=0,$B115&gt;IF(Start!$D$10="Avalanche",Calc!$B$3,Calc!$B$2)),Calc!$B$15=0),"",IF(N(Z114)&lt;=0.005,"",IF(Start!$D$10="Avalanche",INDEX(Calc!LQ$75:LQ$89,Calc!$F$15),INDEX(Calc!LQ$50:LQ$64,Calc!$D$15))))</f>
        <v/>
      </c>
      <c r="AA115" s="20">
        <f>IF(AB115="","",N(AB114)*(1+Start!$E$24/12)-AB115)</f>
        <v/>
      </c>
      <c r="AB115" s="20">
        <f>IF(OR(OR(Calc!$B$4=0,$B115&gt;IF(Start!$D$10="Avalanche",Calc!$B$3,Calc!$B$2)),Calc!$B$16=0),"",IF(N(AB114)&lt;=0.005,"",IF(Start!$D$10="Avalanche",INDEX(Calc!LQ$75:LQ$89,Calc!$F$16),INDEX(Calc!LQ$50:LQ$64,Calc!$D$16))))</f>
        <v/>
      </c>
      <c r="AC115" s="20">
        <f>IF(AD115="","",N(AD114)*(1+Start!$E$25/12)-AD115)</f>
        <v/>
      </c>
      <c r="AD115" s="20">
        <f>IF(OR(OR(Calc!$B$4=0,$B115&gt;IF(Start!$D$10="Avalanche",Calc!$B$3,Calc!$B$2)),Calc!$B$17=0),"",IF(N(AD114)&lt;=0.005,"",IF(Start!$D$10="Avalanche",INDEX(Calc!LQ$75:LQ$89,Calc!$F$17),INDEX(Calc!LQ$50:LQ$64,Calc!$D$17))))</f>
        <v/>
      </c>
      <c r="AE115" s="20">
        <f>IF(AF115="","",N(AF114)*(1+Start!$E$26/12)-AF115)</f>
        <v/>
      </c>
      <c r="AF115" s="20">
        <f>IF(OR(OR(Calc!$B$4=0,$B115&gt;IF(Start!$D$10="Avalanche",Calc!$B$3,Calc!$B$2)),Calc!$B$18=0),"",IF(N(AF114)&lt;=0.005,"",IF(Start!$D$10="Avalanche",INDEX(Calc!LQ$75:LQ$89,Calc!$F$18),INDEX(Calc!LQ$50:LQ$64,Calc!$D$18))))</f>
        <v/>
      </c>
      <c r="AG115" s="20">
        <f>IF(AH115="","",N(AH114)*(1+Start!$E$27/12)-AH115)</f>
        <v/>
      </c>
      <c r="AH115" s="20">
        <f>IF(OR(OR(Calc!$B$4=0,$B115&gt;IF(Start!$D$10="Avalanche",Calc!$B$3,Calc!$B$2)),Calc!$B$19=0),"",IF(N(AH114)&lt;=0.005,"",IF(Start!$D$10="Avalanche",INDEX(Calc!LQ$75:LQ$89,Calc!$F$19),INDEX(Calc!LQ$50:LQ$64,Calc!$D$19))))</f>
        <v/>
      </c>
      <c r="AI115" s="20">
        <f>IF(AJ115="","",N(AJ114)*(1+Start!$E$28/12)-AJ115)</f>
        <v/>
      </c>
      <c r="AJ115" s="20">
        <f>IF(OR(OR(Calc!$B$4=0,$B115&gt;IF(Start!$D$10="Avalanche",Calc!$B$3,Calc!$B$2)),Calc!$B$20=0),"",IF(N(AJ114)&lt;=0.005,"",IF(Start!$D$10="Avalanche",INDEX(Calc!LQ$75:LQ$89,Calc!$F$20),INDEX(Calc!LQ$50:LQ$64,Calc!$D$20))))</f>
        <v/>
      </c>
    </row>
    <row r="116">
      <c r="B116" s="17" t="n">
        <v>110</v>
      </c>
      <c r="C116" s="19">
        <f>IF(Calc!$B$4=0,"",EDATE(Start!$D$11,109))</f>
        <v/>
      </c>
      <c r="D116" s="20">
        <f>IF(OR(Calc!$B$4=0,$B116&gt;IF(Start!$D$10="Avalanche",Calc!$B$3,Calc!$B$2)),"",SUM(G116,I116,K116,M116,O116,Q116,S116,U116,W116,Y116,AA116,AC116,AE116,AG116,AI116))</f>
        <v/>
      </c>
      <c r="E116" s="20">
        <f>IF(OR(Calc!$B$4=0,$B116&gt;IF(Start!$D$10="Avalanche",Calc!$B$3,Calc!$B$2)),"",IF(Start!$D$10="Avalanche",Calc!LR$72,Calc!LR$47))</f>
        <v/>
      </c>
      <c r="F116" s="21">
        <f>IF(Calc!$B$4=0,"",IF($B116&gt;IF(Start!$D$10="Avalanche",Calc!$B$3,Calc!$B$2),NA(),SUM(H116,J116,L116,N116,P116,R116,T116,V116,X116,Z116,AB116,AD116,AF116,AH116,AJ116)))</f>
        <v/>
      </c>
      <c r="G116" s="20">
        <f>IF(H116="","",N(H115)*(1+Start!$E$14/12)-H116)</f>
        <v/>
      </c>
      <c r="H116" s="20">
        <f>IF(OR(OR(Calc!$B$4=0,$B116&gt;IF(Start!$D$10="Avalanche",Calc!$B$3,Calc!$B$2)),Calc!$B$6=0),"",IF(N(H115)&lt;=0.005,"",IF(Start!$D$10="Avalanche",INDEX(Calc!LT$75:LT$89,Calc!$F$6),INDEX(Calc!LT$50:LT$64,Calc!$D$6))))</f>
        <v/>
      </c>
      <c r="I116" s="20">
        <f>IF(J116="","",N(J115)*(1+Start!$E$15/12)-J116)</f>
        <v/>
      </c>
      <c r="J116" s="20">
        <f>IF(OR(OR(Calc!$B$4=0,$B116&gt;IF(Start!$D$10="Avalanche",Calc!$B$3,Calc!$B$2)),Calc!$B$7=0),"",IF(N(J115)&lt;=0.005,"",IF(Start!$D$10="Avalanche",INDEX(Calc!LT$75:LT$89,Calc!$F$7),INDEX(Calc!LT$50:LT$64,Calc!$D$7))))</f>
        <v/>
      </c>
      <c r="K116" s="20">
        <f>IF(L116="","",N(L115)*(1+Start!$E$16/12)-L116)</f>
        <v/>
      </c>
      <c r="L116" s="20">
        <f>IF(OR(OR(Calc!$B$4=0,$B116&gt;IF(Start!$D$10="Avalanche",Calc!$B$3,Calc!$B$2)),Calc!$B$8=0),"",IF(N(L115)&lt;=0.005,"",IF(Start!$D$10="Avalanche",INDEX(Calc!LT$75:LT$89,Calc!$F$8),INDEX(Calc!LT$50:LT$64,Calc!$D$8))))</f>
        <v/>
      </c>
      <c r="M116" s="20">
        <f>IF(N116="","",N(N115)*(1+Start!$E$17/12)-N116)</f>
        <v/>
      </c>
      <c r="N116" s="20">
        <f>IF(OR(OR(Calc!$B$4=0,$B116&gt;IF(Start!$D$10="Avalanche",Calc!$B$3,Calc!$B$2)),Calc!$B$9=0),"",IF(N(N115)&lt;=0.005,"",IF(Start!$D$10="Avalanche",INDEX(Calc!LT$75:LT$89,Calc!$F$9),INDEX(Calc!LT$50:LT$64,Calc!$D$9))))</f>
        <v/>
      </c>
      <c r="O116" s="20">
        <f>IF(P116="","",N(P115)*(1+Start!$E$18/12)-P116)</f>
        <v/>
      </c>
      <c r="P116" s="20">
        <f>IF(OR(OR(Calc!$B$4=0,$B116&gt;IF(Start!$D$10="Avalanche",Calc!$B$3,Calc!$B$2)),Calc!$B$10=0),"",IF(N(P115)&lt;=0.005,"",IF(Start!$D$10="Avalanche",INDEX(Calc!LT$75:LT$89,Calc!$F$10),INDEX(Calc!LT$50:LT$64,Calc!$D$10))))</f>
        <v/>
      </c>
      <c r="Q116" s="20">
        <f>IF(R116="","",N(R115)*(1+Start!$E$19/12)-R116)</f>
        <v/>
      </c>
      <c r="R116" s="20">
        <f>IF(OR(OR(Calc!$B$4=0,$B116&gt;IF(Start!$D$10="Avalanche",Calc!$B$3,Calc!$B$2)),Calc!$B$11=0),"",IF(N(R115)&lt;=0.005,"",IF(Start!$D$10="Avalanche",INDEX(Calc!LT$75:LT$89,Calc!$F$11),INDEX(Calc!LT$50:LT$64,Calc!$D$11))))</f>
        <v/>
      </c>
      <c r="S116" s="20">
        <f>IF(T116="","",N(T115)*(1+Start!$E$20/12)-T116)</f>
        <v/>
      </c>
      <c r="T116" s="20">
        <f>IF(OR(OR(Calc!$B$4=0,$B116&gt;IF(Start!$D$10="Avalanche",Calc!$B$3,Calc!$B$2)),Calc!$B$12=0),"",IF(N(T115)&lt;=0.005,"",IF(Start!$D$10="Avalanche",INDEX(Calc!LT$75:LT$89,Calc!$F$12),INDEX(Calc!LT$50:LT$64,Calc!$D$12))))</f>
        <v/>
      </c>
      <c r="U116" s="20">
        <f>IF(V116="","",N(V115)*(1+Start!$E$21/12)-V116)</f>
        <v/>
      </c>
      <c r="V116" s="20">
        <f>IF(OR(OR(Calc!$B$4=0,$B116&gt;IF(Start!$D$10="Avalanche",Calc!$B$3,Calc!$B$2)),Calc!$B$13=0),"",IF(N(V115)&lt;=0.005,"",IF(Start!$D$10="Avalanche",INDEX(Calc!LT$75:LT$89,Calc!$F$13),INDEX(Calc!LT$50:LT$64,Calc!$D$13))))</f>
        <v/>
      </c>
      <c r="W116" s="20">
        <f>IF(X116="","",N(X115)*(1+Start!$E$22/12)-X116)</f>
        <v/>
      </c>
      <c r="X116" s="20">
        <f>IF(OR(OR(Calc!$B$4=0,$B116&gt;IF(Start!$D$10="Avalanche",Calc!$B$3,Calc!$B$2)),Calc!$B$14=0),"",IF(N(X115)&lt;=0.005,"",IF(Start!$D$10="Avalanche",INDEX(Calc!LT$75:LT$89,Calc!$F$14),INDEX(Calc!LT$50:LT$64,Calc!$D$14))))</f>
        <v/>
      </c>
      <c r="Y116" s="20">
        <f>IF(Z116="","",N(Z115)*(1+Start!$E$23/12)-Z116)</f>
        <v/>
      </c>
      <c r="Z116" s="20">
        <f>IF(OR(OR(Calc!$B$4=0,$B116&gt;IF(Start!$D$10="Avalanche",Calc!$B$3,Calc!$B$2)),Calc!$B$15=0),"",IF(N(Z115)&lt;=0.005,"",IF(Start!$D$10="Avalanche",INDEX(Calc!LT$75:LT$89,Calc!$F$15),INDEX(Calc!LT$50:LT$64,Calc!$D$15))))</f>
        <v/>
      </c>
      <c r="AA116" s="20">
        <f>IF(AB116="","",N(AB115)*(1+Start!$E$24/12)-AB116)</f>
        <v/>
      </c>
      <c r="AB116" s="20">
        <f>IF(OR(OR(Calc!$B$4=0,$B116&gt;IF(Start!$D$10="Avalanche",Calc!$B$3,Calc!$B$2)),Calc!$B$16=0),"",IF(N(AB115)&lt;=0.005,"",IF(Start!$D$10="Avalanche",INDEX(Calc!LT$75:LT$89,Calc!$F$16),INDEX(Calc!LT$50:LT$64,Calc!$D$16))))</f>
        <v/>
      </c>
      <c r="AC116" s="20">
        <f>IF(AD116="","",N(AD115)*(1+Start!$E$25/12)-AD116)</f>
        <v/>
      </c>
      <c r="AD116" s="20">
        <f>IF(OR(OR(Calc!$B$4=0,$B116&gt;IF(Start!$D$10="Avalanche",Calc!$B$3,Calc!$B$2)),Calc!$B$17=0),"",IF(N(AD115)&lt;=0.005,"",IF(Start!$D$10="Avalanche",INDEX(Calc!LT$75:LT$89,Calc!$F$17),INDEX(Calc!LT$50:LT$64,Calc!$D$17))))</f>
        <v/>
      </c>
      <c r="AE116" s="20">
        <f>IF(AF116="","",N(AF115)*(1+Start!$E$26/12)-AF116)</f>
        <v/>
      </c>
      <c r="AF116" s="20">
        <f>IF(OR(OR(Calc!$B$4=0,$B116&gt;IF(Start!$D$10="Avalanche",Calc!$B$3,Calc!$B$2)),Calc!$B$18=0),"",IF(N(AF115)&lt;=0.005,"",IF(Start!$D$10="Avalanche",INDEX(Calc!LT$75:LT$89,Calc!$F$18),INDEX(Calc!LT$50:LT$64,Calc!$D$18))))</f>
        <v/>
      </c>
      <c r="AG116" s="20">
        <f>IF(AH116="","",N(AH115)*(1+Start!$E$27/12)-AH116)</f>
        <v/>
      </c>
      <c r="AH116" s="20">
        <f>IF(OR(OR(Calc!$B$4=0,$B116&gt;IF(Start!$D$10="Avalanche",Calc!$B$3,Calc!$B$2)),Calc!$B$19=0),"",IF(N(AH115)&lt;=0.005,"",IF(Start!$D$10="Avalanche",INDEX(Calc!LT$75:LT$89,Calc!$F$19),INDEX(Calc!LT$50:LT$64,Calc!$D$19))))</f>
        <v/>
      </c>
      <c r="AI116" s="20">
        <f>IF(AJ116="","",N(AJ115)*(1+Start!$E$28/12)-AJ116)</f>
        <v/>
      </c>
      <c r="AJ116" s="20">
        <f>IF(OR(OR(Calc!$B$4=0,$B116&gt;IF(Start!$D$10="Avalanche",Calc!$B$3,Calc!$B$2)),Calc!$B$20=0),"",IF(N(AJ115)&lt;=0.005,"",IF(Start!$D$10="Avalanche",INDEX(Calc!LT$75:LT$89,Calc!$F$20),INDEX(Calc!LT$50:LT$64,Calc!$D$20))))</f>
        <v/>
      </c>
    </row>
    <row r="117">
      <c r="B117" s="17" t="n">
        <v>111</v>
      </c>
      <c r="C117" s="19">
        <f>IF(Calc!$B$4=0,"",EDATE(Start!$D$11,110))</f>
        <v/>
      </c>
      <c r="D117" s="20">
        <f>IF(OR(Calc!$B$4=0,$B117&gt;IF(Start!$D$10="Avalanche",Calc!$B$3,Calc!$B$2)),"",SUM(G117,I117,K117,M117,O117,Q117,S117,U117,W117,Y117,AA117,AC117,AE117,AG117,AI117))</f>
        <v/>
      </c>
      <c r="E117" s="20">
        <f>IF(OR(Calc!$B$4=0,$B117&gt;IF(Start!$D$10="Avalanche",Calc!$B$3,Calc!$B$2)),"",IF(Start!$D$10="Avalanche",Calc!LU$72,Calc!LU$47))</f>
        <v/>
      </c>
      <c r="F117" s="21">
        <f>IF(Calc!$B$4=0,"",IF($B117&gt;IF(Start!$D$10="Avalanche",Calc!$B$3,Calc!$B$2),NA(),SUM(H117,J117,L117,N117,P117,R117,T117,V117,X117,Z117,AB117,AD117,AF117,AH117,AJ117)))</f>
        <v/>
      </c>
      <c r="G117" s="20">
        <f>IF(H117="","",N(H116)*(1+Start!$E$14/12)-H117)</f>
        <v/>
      </c>
      <c r="H117" s="20">
        <f>IF(OR(OR(Calc!$B$4=0,$B117&gt;IF(Start!$D$10="Avalanche",Calc!$B$3,Calc!$B$2)),Calc!$B$6=0),"",IF(N(H116)&lt;=0.005,"",IF(Start!$D$10="Avalanche",INDEX(Calc!LW$75:LW$89,Calc!$F$6),INDEX(Calc!LW$50:LW$64,Calc!$D$6))))</f>
        <v/>
      </c>
      <c r="I117" s="20">
        <f>IF(J117="","",N(J116)*(1+Start!$E$15/12)-J117)</f>
        <v/>
      </c>
      <c r="J117" s="20">
        <f>IF(OR(OR(Calc!$B$4=0,$B117&gt;IF(Start!$D$10="Avalanche",Calc!$B$3,Calc!$B$2)),Calc!$B$7=0),"",IF(N(J116)&lt;=0.005,"",IF(Start!$D$10="Avalanche",INDEX(Calc!LW$75:LW$89,Calc!$F$7),INDEX(Calc!LW$50:LW$64,Calc!$D$7))))</f>
        <v/>
      </c>
      <c r="K117" s="20">
        <f>IF(L117="","",N(L116)*(1+Start!$E$16/12)-L117)</f>
        <v/>
      </c>
      <c r="L117" s="20">
        <f>IF(OR(OR(Calc!$B$4=0,$B117&gt;IF(Start!$D$10="Avalanche",Calc!$B$3,Calc!$B$2)),Calc!$B$8=0),"",IF(N(L116)&lt;=0.005,"",IF(Start!$D$10="Avalanche",INDEX(Calc!LW$75:LW$89,Calc!$F$8),INDEX(Calc!LW$50:LW$64,Calc!$D$8))))</f>
        <v/>
      </c>
      <c r="M117" s="20">
        <f>IF(N117="","",N(N116)*(1+Start!$E$17/12)-N117)</f>
        <v/>
      </c>
      <c r="N117" s="20">
        <f>IF(OR(OR(Calc!$B$4=0,$B117&gt;IF(Start!$D$10="Avalanche",Calc!$B$3,Calc!$B$2)),Calc!$B$9=0),"",IF(N(N116)&lt;=0.005,"",IF(Start!$D$10="Avalanche",INDEX(Calc!LW$75:LW$89,Calc!$F$9),INDEX(Calc!LW$50:LW$64,Calc!$D$9))))</f>
        <v/>
      </c>
      <c r="O117" s="20">
        <f>IF(P117="","",N(P116)*(1+Start!$E$18/12)-P117)</f>
        <v/>
      </c>
      <c r="P117" s="20">
        <f>IF(OR(OR(Calc!$B$4=0,$B117&gt;IF(Start!$D$10="Avalanche",Calc!$B$3,Calc!$B$2)),Calc!$B$10=0),"",IF(N(P116)&lt;=0.005,"",IF(Start!$D$10="Avalanche",INDEX(Calc!LW$75:LW$89,Calc!$F$10),INDEX(Calc!LW$50:LW$64,Calc!$D$10))))</f>
        <v/>
      </c>
      <c r="Q117" s="20">
        <f>IF(R117="","",N(R116)*(1+Start!$E$19/12)-R117)</f>
        <v/>
      </c>
      <c r="R117" s="20">
        <f>IF(OR(OR(Calc!$B$4=0,$B117&gt;IF(Start!$D$10="Avalanche",Calc!$B$3,Calc!$B$2)),Calc!$B$11=0),"",IF(N(R116)&lt;=0.005,"",IF(Start!$D$10="Avalanche",INDEX(Calc!LW$75:LW$89,Calc!$F$11),INDEX(Calc!LW$50:LW$64,Calc!$D$11))))</f>
        <v/>
      </c>
      <c r="S117" s="20">
        <f>IF(T117="","",N(T116)*(1+Start!$E$20/12)-T117)</f>
        <v/>
      </c>
      <c r="T117" s="20">
        <f>IF(OR(OR(Calc!$B$4=0,$B117&gt;IF(Start!$D$10="Avalanche",Calc!$B$3,Calc!$B$2)),Calc!$B$12=0),"",IF(N(T116)&lt;=0.005,"",IF(Start!$D$10="Avalanche",INDEX(Calc!LW$75:LW$89,Calc!$F$12),INDEX(Calc!LW$50:LW$64,Calc!$D$12))))</f>
        <v/>
      </c>
      <c r="U117" s="20">
        <f>IF(V117="","",N(V116)*(1+Start!$E$21/12)-V117)</f>
        <v/>
      </c>
      <c r="V117" s="20">
        <f>IF(OR(OR(Calc!$B$4=0,$B117&gt;IF(Start!$D$10="Avalanche",Calc!$B$3,Calc!$B$2)),Calc!$B$13=0),"",IF(N(V116)&lt;=0.005,"",IF(Start!$D$10="Avalanche",INDEX(Calc!LW$75:LW$89,Calc!$F$13),INDEX(Calc!LW$50:LW$64,Calc!$D$13))))</f>
        <v/>
      </c>
      <c r="W117" s="20">
        <f>IF(X117="","",N(X116)*(1+Start!$E$22/12)-X117)</f>
        <v/>
      </c>
      <c r="X117" s="20">
        <f>IF(OR(OR(Calc!$B$4=0,$B117&gt;IF(Start!$D$10="Avalanche",Calc!$B$3,Calc!$B$2)),Calc!$B$14=0),"",IF(N(X116)&lt;=0.005,"",IF(Start!$D$10="Avalanche",INDEX(Calc!LW$75:LW$89,Calc!$F$14),INDEX(Calc!LW$50:LW$64,Calc!$D$14))))</f>
        <v/>
      </c>
      <c r="Y117" s="20">
        <f>IF(Z117="","",N(Z116)*(1+Start!$E$23/12)-Z117)</f>
        <v/>
      </c>
      <c r="Z117" s="20">
        <f>IF(OR(OR(Calc!$B$4=0,$B117&gt;IF(Start!$D$10="Avalanche",Calc!$B$3,Calc!$B$2)),Calc!$B$15=0),"",IF(N(Z116)&lt;=0.005,"",IF(Start!$D$10="Avalanche",INDEX(Calc!LW$75:LW$89,Calc!$F$15),INDEX(Calc!LW$50:LW$64,Calc!$D$15))))</f>
        <v/>
      </c>
      <c r="AA117" s="20">
        <f>IF(AB117="","",N(AB116)*(1+Start!$E$24/12)-AB117)</f>
        <v/>
      </c>
      <c r="AB117" s="20">
        <f>IF(OR(OR(Calc!$B$4=0,$B117&gt;IF(Start!$D$10="Avalanche",Calc!$B$3,Calc!$B$2)),Calc!$B$16=0),"",IF(N(AB116)&lt;=0.005,"",IF(Start!$D$10="Avalanche",INDEX(Calc!LW$75:LW$89,Calc!$F$16),INDEX(Calc!LW$50:LW$64,Calc!$D$16))))</f>
        <v/>
      </c>
      <c r="AC117" s="20">
        <f>IF(AD117="","",N(AD116)*(1+Start!$E$25/12)-AD117)</f>
        <v/>
      </c>
      <c r="AD117" s="20">
        <f>IF(OR(OR(Calc!$B$4=0,$B117&gt;IF(Start!$D$10="Avalanche",Calc!$B$3,Calc!$B$2)),Calc!$B$17=0),"",IF(N(AD116)&lt;=0.005,"",IF(Start!$D$10="Avalanche",INDEX(Calc!LW$75:LW$89,Calc!$F$17),INDEX(Calc!LW$50:LW$64,Calc!$D$17))))</f>
        <v/>
      </c>
      <c r="AE117" s="20">
        <f>IF(AF117="","",N(AF116)*(1+Start!$E$26/12)-AF117)</f>
        <v/>
      </c>
      <c r="AF117" s="20">
        <f>IF(OR(OR(Calc!$B$4=0,$B117&gt;IF(Start!$D$10="Avalanche",Calc!$B$3,Calc!$B$2)),Calc!$B$18=0),"",IF(N(AF116)&lt;=0.005,"",IF(Start!$D$10="Avalanche",INDEX(Calc!LW$75:LW$89,Calc!$F$18),INDEX(Calc!LW$50:LW$64,Calc!$D$18))))</f>
        <v/>
      </c>
      <c r="AG117" s="20">
        <f>IF(AH117="","",N(AH116)*(1+Start!$E$27/12)-AH117)</f>
        <v/>
      </c>
      <c r="AH117" s="20">
        <f>IF(OR(OR(Calc!$B$4=0,$B117&gt;IF(Start!$D$10="Avalanche",Calc!$B$3,Calc!$B$2)),Calc!$B$19=0),"",IF(N(AH116)&lt;=0.005,"",IF(Start!$D$10="Avalanche",INDEX(Calc!LW$75:LW$89,Calc!$F$19),INDEX(Calc!LW$50:LW$64,Calc!$D$19))))</f>
        <v/>
      </c>
      <c r="AI117" s="20">
        <f>IF(AJ117="","",N(AJ116)*(1+Start!$E$28/12)-AJ117)</f>
        <v/>
      </c>
      <c r="AJ117" s="20">
        <f>IF(OR(OR(Calc!$B$4=0,$B117&gt;IF(Start!$D$10="Avalanche",Calc!$B$3,Calc!$B$2)),Calc!$B$20=0),"",IF(N(AJ116)&lt;=0.005,"",IF(Start!$D$10="Avalanche",INDEX(Calc!LW$75:LW$89,Calc!$F$20),INDEX(Calc!LW$50:LW$64,Calc!$D$20))))</f>
        <v/>
      </c>
    </row>
    <row r="118">
      <c r="B118" s="17" t="n">
        <v>112</v>
      </c>
      <c r="C118" s="19">
        <f>IF(Calc!$B$4=0,"",EDATE(Start!$D$11,111))</f>
        <v/>
      </c>
      <c r="D118" s="20">
        <f>IF(OR(Calc!$B$4=0,$B118&gt;IF(Start!$D$10="Avalanche",Calc!$B$3,Calc!$B$2)),"",SUM(G118,I118,K118,M118,O118,Q118,S118,U118,W118,Y118,AA118,AC118,AE118,AG118,AI118))</f>
        <v/>
      </c>
      <c r="E118" s="20">
        <f>IF(OR(Calc!$B$4=0,$B118&gt;IF(Start!$D$10="Avalanche",Calc!$B$3,Calc!$B$2)),"",IF(Start!$D$10="Avalanche",Calc!LX$72,Calc!LX$47))</f>
        <v/>
      </c>
      <c r="F118" s="21">
        <f>IF(Calc!$B$4=0,"",IF($B118&gt;IF(Start!$D$10="Avalanche",Calc!$B$3,Calc!$B$2),NA(),SUM(H118,J118,L118,N118,P118,R118,T118,V118,X118,Z118,AB118,AD118,AF118,AH118,AJ118)))</f>
        <v/>
      </c>
      <c r="G118" s="20">
        <f>IF(H118="","",N(H117)*(1+Start!$E$14/12)-H118)</f>
        <v/>
      </c>
      <c r="H118" s="20">
        <f>IF(OR(OR(Calc!$B$4=0,$B118&gt;IF(Start!$D$10="Avalanche",Calc!$B$3,Calc!$B$2)),Calc!$B$6=0),"",IF(N(H117)&lt;=0.005,"",IF(Start!$D$10="Avalanche",INDEX(Calc!LZ$75:LZ$89,Calc!$F$6),INDEX(Calc!LZ$50:LZ$64,Calc!$D$6))))</f>
        <v/>
      </c>
      <c r="I118" s="20">
        <f>IF(J118="","",N(J117)*(1+Start!$E$15/12)-J118)</f>
        <v/>
      </c>
      <c r="J118" s="20">
        <f>IF(OR(OR(Calc!$B$4=0,$B118&gt;IF(Start!$D$10="Avalanche",Calc!$B$3,Calc!$B$2)),Calc!$B$7=0),"",IF(N(J117)&lt;=0.005,"",IF(Start!$D$10="Avalanche",INDEX(Calc!LZ$75:LZ$89,Calc!$F$7),INDEX(Calc!LZ$50:LZ$64,Calc!$D$7))))</f>
        <v/>
      </c>
      <c r="K118" s="20">
        <f>IF(L118="","",N(L117)*(1+Start!$E$16/12)-L118)</f>
        <v/>
      </c>
      <c r="L118" s="20">
        <f>IF(OR(OR(Calc!$B$4=0,$B118&gt;IF(Start!$D$10="Avalanche",Calc!$B$3,Calc!$B$2)),Calc!$B$8=0),"",IF(N(L117)&lt;=0.005,"",IF(Start!$D$10="Avalanche",INDEX(Calc!LZ$75:LZ$89,Calc!$F$8),INDEX(Calc!LZ$50:LZ$64,Calc!$D$8))))</f>
        <v/>
      </c>
      <c r="M118" s="20">
        <f>IF(N118="","",N(N117)*(1+Start!$E$17/12)-N118)</f>
        <v/>
      </c>
      <c r="N118" s="20">
        <f>IF(OR(OR(Calc!$B$4=0,$B118&gt;IF(Start!$D$10="Avalanche",Calc!$B$3,Calc!$B$2)),Calc!$B$9=0),"",IF(N(N117)&lt;=0.005,"",IF(Start!$D$10="Avalanche",INDEX(Calc!LZ$75:LZ$89,Calc!$F$9),INDEX(Calc!LZ$50:LZ$64,Calc!$D$9))))</f>
        <v/>
      </c>
      <c r="O118" s="20">
        <f>IF(P118="","",N(P117)*(1+Start!$E$18/12)-P118)</f>
        <v/>
      </c>
      <c r="P118" s="20">
        <f>IF(OR(OR(Calc!$B$4=0,$B118&gt;IF(Start!$D$10="Avalanche",Calc!$B$3,Calc!$B$2)),Calc!$B$10=0),"",IF(N(P117)&lt;=0.005,"",IF(Start!$D$10="Avalanche",INDEX(Calc!LZ$75:LZ$89,Calc!$F$10),INDEX(Calc!LZ$50:LZ$64,Calc!$D$10))))</f>
        <v/>
      </c>
      <c r="Q118" s="20">
        <f>IF(R118="","",N(R117)*(1+Start!$E$19/12)-R118)</f>
        <v/>
      </c>
      <c r="R118" s="20">
        <f>IF(OR(OR(Calc!$B$4=0,$B118&gt;IF(Start!$D$10="Avalanche",Calc!$B$3,Calc!$B$2)),Calc!$B$11=0),"",IF(N(R117)&lt;=0.005,"",IF(Start!$D$10="Avalanche",INDEX(Calc!LZ$75:LZ$89,Calc!$F$11),INDEX(Calc!LZ$50:LZ$64,Calc!$D$11))))</f>
        <v/>
      </c>
      <c r="S118" s="20">
        <f>IF(T118="","",N(T117)*(1+Start!$E$20/12)-T118)</f>
        <v/>
      </c>
      <c r="T118" s="20">
        <f>IF(OR(OR(Calc!$B$4=0,$B118&gt;IF(Start!$D$10="Avalanche",Calc!$B$3,Calc!$B$2)),Calc!$B$12=0),"",IF(N(T117)&lt;=0.005,"",IF(Start!$D$10="Avalanche",INDEX(Calc!LZ$75:LZ$89,Calc!$F$12),INDEX(Calc!LZ$50:LZ$64,Calc!$D$12))))</f>
        <v/>
      </c>
      <c r="U118" s="20">
        <f>IF(V118="","",N(V117)*(1+Start!$E$21/12)-V118)</f>
        <v/>
      </c>
      <c r="V118" s="20">
        <f>IF(OR(OR(Calc!$B$4=0,$B118&gt;IF(Start!$D$10="Avalanche",Calc!$B$3,Calc!$B$2)),Calc!$B$13=0),"",IF(N(V117)&lt;=0.005,"",IF(Start!$D$10="Avalanche",INDEX(Calc!LZ$75:LZ$89,Calc!$F$13),INDEX(Calc!LZ$50:LZ$64,Calc!$D$13))))</f>
        <v/>
      </c>
      <c r="W118" s="20">
        <f>IF(X118="","",N(X117)*(1+Start!$E$22/12)-X118)</f>
        <v/>
      </c>
      <c r="X118" s="20">
        <f>IF(OR(OR(Calc!$B$4=0,$B118&gt;IF(Start!$D$10="Avalanche",Calc!$B$3,Calc!$B$2)),Calc!$B$14=0),"",IF(N(X117)&lt;=0.005,"",IF(Start!$D$10="Avalanche",INDEX(Calc!LZ$75:LZ$89,Calc!$F$14),INDEX(Calc!LZ$50:LZ$64,Calc!$D$14))))</f>
        <v/>
      </c>
      <c r="Y118" s="20">
        <f>IF(Z118="","",N(Z117)*(1+Start!$E$23/12)-Z118)</f>
        <v/>
      </c>
      <c r="Z118" s="20">
        <f>IF(OR(OR(Calc!$B$4=0,$B118&gt;IF(Start!$D$10="Avalanche",Calc!$B$3,Calc!$B$2)),Calc!$B$15=0),"",IF(N(Z117)&lt;=0.005,"",IF(Start!$D$10="Avalanche",INDEX(Calc!LZ$75:LZ$89,Calc!$F$15),INDEX(Calc!LZ$50:LZ$64,Calc!$D$15))))</f>
        <v/>
      </c>
      <c r="AA118" s="20">
        <f>IF(AB118="","",N(AB117)*(1+Start!$E$24/12)-AB118)</f>
        <v/>
      </c>
      <c r="AB118" s="20">
        <f>IF(OR(OR(Calc!$B$4=0,$B118&gt;IF(Start!$D$10="Avalanche",Calc!$B$3,Calc!$B$2)),Calc!$B$16=0),"",IF(N(AB117)&lt;=0.005,"",IF(Start!$D$10="Avalanche",INDEX(Calc!LZ$75:LZ$89,Calc!$F$16),INDEX(Calc!LZ$50:LZ$64,Calc!$D$16))))</f>
        <v/>
      </c>
      <c r="AC118" s="20">
        <f>IF(AD118="","",N(AD117)*(1+Start!$E$25/12)-AD118)</f>
        <v/>
      </c>
      <c r="AD118" s="20">
        <f>IF(OR(OR(Calc!$B$4=0,$B118&gt;IF(Start!$D$10="Avalanche",Calc!$B$3,Calc!$B$2)),Calc!$B$17=0),"",IF(N(AD117)&lt;=0.005,"",IF(Start!$D$10="Avalanche",INDEX(Calc!LZ$75:LZ$89,Calc!$F$17),INDEX(Calc!LZ$50:LZ$64,Calc!$D$17))))</f>
        <v/>
      </c>
      <c r="AE118" s="20">
        <f>IF(AF118="","",N(AF117)*(1+Start!$E$26/12)-AF118)</f>
        <v/>
      </c>
      <c r="AF118" s="20">
        <f>IF(OR(OR(Calc!$B$4=0,$B118&gt;IF(Start!$D$10="Avalanche",Calc!$B$3,Calc!$B$2)),Calc!$B$18=0),"",IF(N(AF117)&lt;=0.005,"",IF(Start!$D$10="Avalanche",INDEX(Calc!LZ$75:LZ$89,Calc!$F$18),INDEX(Calc!LZ$50:LZ$64,Calc!$D$18))))</f>
        <v/>
      </c>
      <c r="AG118" s="20">
        <f>IF(AH118="","",N(AH117)*(1+Start!$E$27/12)-AH118)</f>
        <v/>
      </c>
      <c r="AH118" s="20">
        <f>IF(OR(OR(Calc!$B$4=0,$B118&gt;IF(Start!$D$10="Avalanche",Calc!$B$3,Calc!$B$2)),Calc!$B$19=0),"",IF(N(AH117)&lt;=0.005,"",IF(Start!$D$10="Avalanche",INDEX(Calc!LZ$75:LZ$89,Calc!$F$19),INDEX(Calc!LZ$50:LZ$64,Calc!$D$19))))</f>
        <v/>
      </c>
      <c r="AI118" s="20">
        <f>IF(AJ118="","",N(AJ117)*(1+Start!$E$28/12)-AJ118)</f>
        <v/>
      </c>
      <c r="AJ118" s="20">
        <f>IF(OR(OR(Calc!$B$4=0,$B118&gt;IF(Start!$D$10="Avalanche",Calc!$B$3,Calc!$B$2)),Calc!$B$20=0),"",IF(N(AJ117)&lt;=0.005,"",IF(Start!$D$10="Avalanche",INDEX(Calc!LZ$75:LZ$89,Calc!$F$20),INDEX(Calc!LZ$50:LZ$64,Calc!$D$20))))</f>
        <v/>
      </c>
    </row>
    <row r="119">
      <c r="B119" s="17" t="n">
        <v>113</v>
      </c>
      <c r="C119" s="19">
        <f>IF(Calc!$B$4=0,"",EDATE(Start!$D$11,112))</f>
        <v/>
      </c>
      <c r="D119" s="20">
        <f>IF(OR(Calc!$B$4=0,$B119&gt;IF(Start!$D$10="Avalanche",Calc!$B$3,Calc!$B$2)),"",SUM(G119,I119,K119,M119,O119,Q119,S119,U119,W119,Y119,AA119,AC119,AE119,AG119,AI119))</f>
        <v/>
      </c>
      <c r="E119" s="20">
        <f>IF(OR(Calc!$B$4=0,$B119&gt;IF(Start!$D$10="Avalanche",Calc!$B$3,Calc!$B$2)),"",IF(Start!$D$10="Avalanche",Calc!MA$72,Calc!MA$47))</f>
        <v/>
      </c>
      <c r="F119" s="21">
        <f>IF(Calc!$B$4=0,"",IF($B119&gt;IF(Start!$D$10="Avalanche",Calc!$B$3,Calc!$B$2),NA(),SUM(H119,J119,L119,N119,P119,R119,T119,V119,X119,Z119,AB119,AD119,AF119,AH119,AJ119)))</f>
        <v/>
      </c>
      <c r="G119" s="20">
        <f>IF(H119="","",N(H118)*(1+Start!$E$14/12)-H119)</f>
        <v/>
      </c>
      <c r="H119" s="20">
        <f>IF(OR(OR(Calc!$B$4=0,$B119&gt;IF(Start!$D$10="Avalanche",Calc!$B$3,Calc!$B$2)),Calc!$B$6=0),"",IF(N(H118)&lt;=0.005,"",IF(Start!$D$10="Avalanche",INDEX(Calc!MC$75:MC$89,Calc!$F$6),INDEX(Calc!MC$50:MC$64,Calc!$D$6))))</f>
        <v/>
      </c>
      <c r="I119" s="20">
        <f>IF(J119="","",N(J118)*(1+Start!$E$15/12)-J119)</f>
        <v/>
      </c>
      <c r="J119" s="20">
        <f>IF(OR(OR(Calc!$B$4=0,$B119&gt;IF(Start!$D$10="Avalanche",Calc!$B$3,Calc!$B$2)),Calc!$B$7=0),"",IF(N(J118)&lt;=0.005,"",IF(Start!$D$10="Avalanche",INDEX(Calc!MC$75:MC$89,Calc!$F$7),INDEX(Calc!MC$50:MC$64,Calc!$D$7))))</f>
        <v/>
      </c>
      <c r="K119" s="20">
        <f>IF(L119="","",N(L118)*(1+Start!$E$16/12)-L119)</f>
        <v/>
      </c>
      <c r="L119" s="20">
        <f>IF(OR(OR(Calc!$B$4=0,$B119&gt;IF(Start!$D$10="Avalanche",Calc!$B$3,Calc!$B$2)),Calc!$B$8=0),"",IF(N(L118)&lt;=0.005,"",IF(Start!$D$10="Avalanche",INDEX(Calc!MC$75:MC$89,Calc!$F$8),INDEX(Calc!MC$50:MC$64,Calc!$D$8))))</f>
        <v/>
      </c>
      <c r="M119" s="20">
        <f>IF(N119="","",N(N118)*(1+Start!$E$17/12)-N119)</f>
        <v/>
      </c>
      <c r="N119" s="20">
        <f>IF(OR(OR(Calc!$B$4=0,$B119&gt;IF(Start!$D$10="Avalanche",Calc!$B$3,Calc!$B$2)),Calc!$B$9=0),"",IF(N(N118)&lt;=0.005,"",IF(Start!$D$10="Avalanche",INDEX(Calc!MC$75:MC$89,Calc!$F$9),INDEX(Calc!MC$50:MC$64,Calc!$D$9))))</f>
        <v/>
      </c>
      <c r="O119" s="20">
        <f>IF(P119="","",N(P118)*(1+Start!$E$18/12)-P119)</f>
        <v/>
      </c>
      <c r="P119" s="20">
        <f>IF(OR(OR(Calc!$B$4=0,$B119&gt;IF(Start!$D$10="Avalanche",Calc!$B$3,Calc!$B$2)),Calc!$B$10=0),"",IF(N(P118)&lt;=0.005,"",IF(Start!$D$10="Avalanche",INDEX(Calc!MC$75:MC$89,Calc!$F$10),INDEX(Calc!MC$50:MC$64,Calc!$D$10))))</f>
        <v/>
      </c>
      <c r="Q119" s="20">
        <f>IF(R119="","",N(R118)*(1+Start!$E$19/12)-R119)</f>
        <v/>
      </c>
      <c r="R119" s="20">
        <f>IF(OR(OR(Calc!$B$4=0,$B119&gt;IF(Start!$D$10="Avalanche",Calc!$B$3,Calc!$B$2)),Calc!$B$11=0),"",IF(N(R118)&lt;=0.005,"",IF(Start!$D$10="Avalanche",INDEX(Calc!MC$75:MC$89,Calc!$F$11),INDEX(Calc!MC$50:MC$64,Calc!$D$11))))</f>
        <v/>
      </c>
      <c r="S119" s="20">
        <f>IF(T119="","",N(T118)*(1+Start!$E$20/12)-T119)</f>
        <v/>
      </c>
      <c r="T119" s="20">
        <f>IF(OR(OR(Calc!$B$4=0,$B119&gt;IF(Start!$D$10="Avalanche",Calc!$B$3,Calc!$B$2)),Calc!$B$12=0),"",IF(N(T118)&lt;=0.005,"",IF(Start!$D$10="Avalanche",INDEX(Calc!MC$75:MC$89,Calc!$F$12),INDEX(Calc!MC$50:MC$64,Calc!$D$12))))</f>
        <v/>
      </c>
      <c r="U119" s="20">
        <f>IF(V119="","",N(V118)*(1+Start!$E$21/12)-V119)</f>
        <v/>
      </c>
      <c r="V119" s="20">
        <f>IF(OR(OR(Calc!$B$4=0,$B119&gt;IF(Start!$D$10="Avalanche",Calc!$B$3,Calc!$B$2)),Calc!$B$13=0),"",IF(N(V118)&lt;=0.005,"",IF(Start!$D$10="Avalanche",INDEX(Calc!MC$75:MC$89,Calc!$F$13),INDEX(Calc!MC$50:MC$64,Calc!$D$13))))</f>
        <v/>
      </c>
      <c r="W119" s="20">
        <f>IF(X119="","",N(X118)*(1+Start!$E$22/12)-X119)</f>
        <v/>
      </c>
      <c r="X119" s="20">
        <f>IF(OR(OR(Calc!$B$4=0,$B119&gt;IF(Start!$D$10="Avalanche",Calc!$B$3,Calc!$B$2)),Calc!$B$14=0),"",IF(N(X118)&lt;=0.005,"",IF(Start!$D$10="Avalanche",INDEX(Calc!MC$75:MC$89,Calc!$F$14),INDEX(Calc!MC$50:MC$64,Calc!$D$14))))</f>
        <v/>
      </c>
      <c r="Y119" s="20">
        <f>IF(Z119="","",N(Z118)*(1+Start!$E$23/12)-Z119)</f>
        <v/>
      </c>
      <c r="Z119" s="20">
        <f>IF(OR(OR(Calc!$B$4=0,$B119&gt;IF(Start!$D$10="Avalanche",Calc!$B$3,Calc!$B$2)),Calc!$B$15=0),"",IF(N(Z118)&lt;=0.005,"",IF(Start!$D$10="Avalanche",INDEX(Calc!MC$75:MC$89,Calc!$F$15),INDEX(Calc!MC$50:MC$64,Calc!$D$15))))</f>
        <v/>
      </c>
      <c r="AA119" s="20">
        <f>IF(AB119="","",N(AB118)*(1+Start!$E$24/12)-AB119)</f>
        <v/>
      </c>
      <c r="AB119" s="20">
        <f>IF(OR(OR(Calc!$B$4=0,$B119&gt;IF(Start!$D$10="Avalanche",Calc!$B$3,Calc!$B$2)),Calc!$B$16=0),"",IF(N(AB118)&lt;=0.005,"",IF(Start!$D$10="Avalanche",INDEX(Calc!MC$75:MC$89,Calc!$F$16),INDEX(Calc!MC$50:MC$64,Calc!$D$16))))</f>
        <v/>
      </c>
      <c r="AC119" s="20">
        <f>IF(AD119="","",N(AD118)*(1+Start!$E$25/12)-AD119)</f>
        <v/>
      </c>
      <c r="AD119" s="20">
        <f>IF(OR(OR(Calc!$B$4=0,$B119&gt;IF(Start!$D$10="Avalanche",Calc!$B$3,Calc!$B$2)),Calc!$B$17=0),"",IF(N(AD118)&lt;=0.005,"",IF(Start!$D$10="Avalanche",INDEX(Calc!MC$75:MC$89,Calc!$F$17),INDEX(Calc!MC$50:MC$64,Calc!$D$17))))</f>
        <v/>
      </c>
      <c r="AE119" s="20">
        <f>IF(AF119="","",N(AF118)*(1+Start!$E$26/12)-AF119)</f>
        <v/>
      </c>
      <c r="AF119" s="20">
        <f>IF(OR(OR(Calc!$B$4=0,$B119&gt;IF(Start!$D$10="Avalanche",Calc!$B$3,Calc!$B$2)),Calc!$B$18=0),"",IF(N(AF118)&lt;=0.005,"",IF(Start!$D$10="Avalanche",INDEX(Calc!MC$75:MC$89,Calc!$F$18),INDEX(Calc!MC$50:MC$64,Calc!$D$18))))</f>
        <v/>
      </c>
      <c r="AG119" s="20">
        <f>IF(AH119="","",N(AH118)*(1+Start!$E$27/12)-AH119)</f>
        <v/>
      </c>
      <c r="AH119" s="20">
        <f>IF(OR(OR(Calc!$B$4=0,$B119&gt;IF(Start!$D$10="Avalanche",Calc!$B$3,Calc!$B$2)),Calc!$B$19=0),"",IF(N(AH118)&lt;=0.005,"",IF(Start!$D$10="Avalanche",INDEX(Calc!MC$75:MC$89,Calc!$F$19),INDEX(Calc!MC$50:MC$64,Calc!$D$19))))</f>
        <v/>
      </c>
      <c r="AI119" s="20">
        <f>IF(AJ119="","",N(AJ118)*(1+Start!$E$28/12)-AJ119)</f>
        <v/>
      </c>
      <c r="AJ119" s="20">
        <f>IF(OR(OR(Calc!$B$4=0,$B119&gt;IF(Start!$D$10="Avalanche",Calc!$B$3,Calc!$B$2)),Calc!$B$20=0),"",IF(N(AJ118)&lt;=0.005,"",IF(Start!$D$10="Avalanche",INDEX(Calc!MC$75:MC$89,Calc!$F$20),INDEX(Calc!MC$50:MC$64,Calc!$D$20))))</f>
        <v/>
      </c>
    </row>
    <row r="120">
      <c r="B120" s="17" t="n">
        <v>114</v>
      </c>
      <c r="C120" s="19">
        <f>IF(Calc!$B$4=0,"",EDATE(Start!$D$11,113))</f>
        <v/>
      </c>
      <c r="D120" s="20">
        <f>IF(OR(Calc!$B$4=0,$B120&gt;IF(Start!$D$10="Avalanche",Calc!$B$3,Calc!$B$2)),"",SUM(G120,I120,K120,M120,O120,Q120,S120,U120,W120,Y120,AA120,AC120,AE120,AG120,AI120))</f>
        <v/>
      </c>
      <c r="E120" s="20">
        <f>IF(OR(Calc!$B$4=0,$B120&gt;IF(Start!$D$10="Avalanche",Calc!$B$3,Calc!$B$2)),"",IF(Start!$D$10="Avalanche",Calc!MD$72,Calc!MD$47))</f>
        <v/>
      </c>
      <c r="F120" s="21">
        <f>IF(Calc!$B$4=0,"",IF($B120&gt;IF(Start!$D$10="Avalanche",Calc!$B$3,Calc!$B$2),NA(),SUM(H120,J120,L120,N120,P120,R120,T120,V120,X120,Z120,AB120,AD120,AF120,AH120,AJ120)))</f>
        <v/>
      </c>
      <c r="G120" s="20">
        <f>IF(H120="","",N(H119)*(1+Start!$E$14/12)-H120)</f>
        <v/>
      </c>
      <c r="H120" s="20">
        <f>IF(OR(OR(Calc!$B$4=0,$B120&gt;IF(Start!$D$10="Avalanche",Calc!$B$3,Calc!$B$2)),Calc!$B$6=0),"",IF(N(H119)&lt;=0.005,"",IF(Start!$D$10="Avalanche",INDEX(Calc!MF$75:MF$89,Calc!$F$6),INDEX(Calc!MF$50:MF$64,Calc!$D$6))))</f>
        <v/>
      </c>
      <c r="I120" s="20">
        <f>IF(J120="","",N(J119)*(1+Start!$E$15/12)-J120)</f>
        <v/>
      </c>
      <c r="J120" s="20">
        <f>IF(OR(OR(Calc!$B$4=0,$B120&gt;IF(Start!$D$10="Avalanche",Calc!$B$3,Calc!$B$2)),Calc!$B$7=0),"",IF(N(J119)&lt;=0.005,"",IF(Start!$D$10="Avalanche",INDEX(Calc!MF$75:MF$89,Calc!$F$7),INDEX(Calc!MF$50:MF$64,Calc!$D$7))))</f>
        <v/>
      </c>
      <c r="K120" s="20">
        <f>IF(L120="","",N(L119)*(1+Start!$E$16/12)-L120)</f>
        <v/>
      </c>
      <c r="L120" s="20">
        <f>IF(OR(OR(Calc!$B$4=0,$B120&gt;IF(Start!$D$10="Avalanche",Calc!$B$3,Calc!$B$2)),Calc!$B$8=0),"",IF(N(L119)&lt;=0.005,"",IF(Start!$D$10="Avalanche",INDEX(Calc!MF$75:MF$89,Calc!$F$8),INDEX(Calc!MF$50:MF$64,Calc!$D$8))))</f>
        <v/>
      </c>
      <c r="M120" s="20">
        <f>IF(N120="","",N(N119)*(1+Start!$E$17/12)-N120)</f>
        <v/>
      </c>
      <c r="N120" s="20">
        <f>IF(OR(OR(Calc!$B$4=0,$B120&gt;IF(Start!$D$10="Avalanche",Calc!$B$3,Calc!$B$2)),Calc!$B$9=0),"",IF(N(N119)&lt;=0.005,"",IF(Start!$D$10="Avalanche",INDEX(Calc!MF$75:MF$89,Calc!$F$9),INDEX(Calc!MF$50:MF$64,Calc!$D$9))))</f>
        <v/>
      </c>
      <c r="O120" s="20">
        <f>IF(P120="","",N(P119)*(1+Start!$E$18/12)-P120)</f>
        <v/>
      </c>
      <c r="P120" s="20">
        <f>IF(OR(OR(Calc!$B$4=0,$B120&gt;IF(Start!$D$10="Avalanche",Calc!$B$3,Calc!$B$2)),Calc!$B$10=0),"",IF(N(P119)&lt;=0.005,"",IF(Start!$D$10="Avalanche",INDEX(Calc!MF$75:MF$89,Calc!$F$10),INDEX(Calc!MF$50:MF$64,Calc!$D$10))))</f>
        <v/>
      </c>
      <c r="Q120" s="20">
        <f>IF(R120="","",N(R119)*(1+Start!$E$19/12)-R120)</f>
        <v/>
      </c>
      <c r="R120" s="20">
        <f>IF(OR(OR(Calc!$B$4=0,$B120&gt;IF(Start!$D$10="Avalanche",Calc!$B$3,Calc!$B$2)),Calc!$B$11=0),"",IF(N(R119)&lt;=0.005,"",IF(Start!$D$10="Avalanche",INDEX(Calc!MF$75:MF$89,Calc!$F$11),INDEX(Calc!MF$50:MF$64,Calc!$D$11))))</f>
        <v/>
      </c>
      <c r="S120" s="20">
        <f>IF(T120="","",N(T119)*(1+Start!$E$20/12)-T120)</f>
        <v/>
      </c>
      <c r="T120" s="20">
        <f>IF(OR(OR(Calc!$B$4=0,$B120&gt;IF(Start!$D$10="Avalanche",Calc!$B$3,Calc!$B$2)),Calc!$B$12=0),"",IF(N(T119)&lt;=0.005,"",IF(Start!$D$10="Avalanche",INDEX(Calc!MF$75:MF$89,Calc!$F$12),INDEX(Calc!MF$50:MF$64,Calc!$D$12))))</f>
        <v/>
      </c>
      <c r="U120" s="20">
        <f>IF(V120="","",N(V119)*(1+Start!$E$21/12)-V120)</f>
        <v/>
      </c>
      <c r="V120" s="20">
        <f>IF(OR(OR(Calc!$B$4=0,$B120&gt;IF(Start!$D$10="Avalanche",Calc!$B$3,Calc!$B$2)),Calc!$B$13=0),"",IF(N(V119)&lt;=0.005,"",IF(Start!$D$10="Avalanche",INDEX(Calc!MF$75:MF$89,Calc!$F$13),INDEX(Calc!MF$50:MF$64,Calc!$D$13))))</f>
        <v/>
      </c>
      <c r="W120" s="20">
        <f>IF(X120="","",N(X119)*(1+Start!$E$22/12)-X120)</f>
        <v/>
      </c>
      <c r="X120" s="20">
        <f>IF(OR(OR(Calc!$B$4=0,$B120&gt;IF(Start!$D$10="Avalanche",Calc!$B$3,Calc!$B$2)),Calc!$B$14=0),"",IF(N(X119)&lt;=0.005,"",IF(Start!$D$10="Avalanche",INDEX(Calc!MF$75:MF$89,Calc!$F$14),INDEX(Calc!MF$50:MF$64,Calc!$D$14))))</f>
        <v/>
      </c>
      <c r="Y120" s="20">
        <f>IF(Z120="","",N(Z119)*(1+Start!$E$23/12)-Z120)</f>
        <v/>
      </c>
      <c r="Z120" s="20">
        <f>IF(OR(OR(Calc!$B$4=0,$B120&gt;IF(Start!$D$10="Avalanche",Calc!$B$3,Calc!$B$2)),Calc!$B$15=0),"",IF(N(Z119)&lt;=0.005,"",IF(Start!$D$10="Avalanche",INDEX(Calc!MF$75:MF$89,Calc!$F$15),INDEX(Calc!MF$50:MF$64,Calc!$D$15))))</f>
        <v/>
      </c>
      <c r="AA120" s="20">
        <f>IF(AB120="","",N(AB119)*(1+Start!$E$24/12)-AB120)</f>
        <v/>
      </c>
      <c r="AB120" s="20">
        <f>IF(OR(OR(Calc!$B$4=0,$B120&gt;IF(Start!$D$10="Avalanche",Calc!$B$3,Calc!$B$2)),Calc!$B$16=0),"",IF(N(AB119)&lt;=0.005,"",IF(Start!$D$10="Avalanche",INDEX(Calc!MF$75:MF$89,Calc!$F$16),INDEX(Calc!MF$50:MF$64,Calc!$D$16))))</f>
        <v/>
      </c>
      <c r="AC120" s="20">
        <f>IF(AD120="","",N(AD119)*(1+Start!$E$25/12)-AD120)</f>
        <v/>
      </c>
      <c r="AD120" s="20">
        <f>IF(OR(OR(Calc!$B$4=0,$B120&gt;IF(Start!$D$10="Avalanche",Calc!$B$3,Calc!$B$2)),Calc!$B$17=0),"",IF(N(AD119)&lt;=0.005,"",IF(Start!$D$10="Avalanche",INDEX(Calc!MF$75:MF$89,Calc!$F$17),INDEX(Calc!MF$50:MF$64,Calc!$D$17))))</f>
        <v/>
      </c>
      <c r="AE120" s="20">
        <f>IF(AF120="","",N(AF119)*(1+Start!$E$26/12)-AF120)</f>
        <v/>
      </c>
      <c r="AF120" s="20">
        <f>IF(OR(OR(Calc!$B$4=0,$B120&gt;IF(Start!$D$10="Avalanche",Calc!$B$3,Calc!$B$2)),Calc!$B$18=0),"",IF(N(AF119)&lt;=0.005,"",IF(Start!$D$10="Avalanche",INDEX(Calc!MF$75:MF$89,Calc!$F$18),INDEX(Calc!MF$50:MF$64,Calc!$D$18))))</f>
        <v/>
      </c>
      <c r="AG120" s="20">
        <f>IF(AH120="","",N(AH119)*(1+Start!$E$27/12)-AH120)</f>
        <v/>
      </c>
      <c r="AH120" s="20">
        <f>IF(OR(OR(Calc!$B$4=0,$B120&gt;IF(Start!$D$10="Avalanche",Calc!$B$3,Calc!$B$2)),Calc!$B$19=0),"",IF(N(AH119)&lt;=0.005,"",IF(Start!$D$10="Avalanche",INDEX(Calc!MF$75:MF$89,Calc!$F$19),INDEX(Calc!MF$50:MF$64,Calc!$D$19))))</f>
        <v/>
      </c>
      <c r="AI120" s="20">
        <f>IF(AJ120="","",N(AJ119)*(1+Start!$E$28/12)-AJ120)</f>
        <v/>
      </c>
      <c r="AJ120" s="20">
        <f>IF(OR(OR(Calc!$B$4=0,$B120&gt;IF(Start!$D$10="Avalanche",Calc!$B$3,Calc!$B$2)),Calc!$B$20=0),"",IF(N(AJ119)&lt;=0.005,"",IF(Start!$D$10="Avalanche",INDEX(Calc!MF$75:MF$89,Calc!$F$20),INDEX(Calc!MF$50:MF$64,Calc!$D$20))))</f>
        <v/>
      </c>
    </row>
    <row r="121">
      <c r="B121" s="17" t="n">
        <v>115</v>
      </c>
      <c r="C121" s="19">
        <f>IF(Calc!$B$4=0,"",EDATE(Start!$D$11,114))</f>
        <v/>
      </c>
      <c r="D121" s="20">
        <f>IF(OR(Calc!$B$4=0,$B121&gt;IF(Start!$D$10="Avalanche",Calc!$B$3,Calc!$B$2)),"",SUM(G121,I121,K121,M121,O121,Q121,S121,U121,W121,Y121,AA121,AC121,AE121,AG121,AI121))</f>
        <v/>
      </c>
      <c r="E121" s="20">
        <f>IF(OR(Calc!$B$4=0,$B121&gt;IF(Start!$D$10="Avalanche",Calc!$B$3,Calc!$B$2)),"",IF(Start!$D$10="Avalanche",Calc!MG$72,Calc!MG$47))</f>
        <v/>
      </c>
      <c r="F121" s="21">
        <f>IF(Calc!$B$4=0,"",IF($B121&gt;IF(Start!$D$10="Avalanche",Calc!$B$3,Calc!$B$2),NA(),SUM(H121,J121,L121,N121,P121,R121,T121,V121,X121,Z121,AB121,AD121,AF121,AH121,AJ121)))</f>
        <v/>
      </c>
      <c r="G121" s="20">
        <f>IF(H121="","",N(H120)*(1+Start!$E$14/12)-H121)</f>
        <v/>
      </c>
      <c r="H121" s="20">
        <f>IF(OR(OR(Calc!$B$4=0,$B121&gt;IF(Start!$D$10="Avalanche",Calc!$B$3,Calc!$B$2)),Calc!$B$6=0),"",IF(N(H120)&lt;=0.005,"",IF(Start!$D$10="Avalanche",INDEX(Calc!MI$75:MI$89,Calc!$F$6),INDEX(Calc!MI$50:MI$64,Calc!$D$6))))</f>
        <v/>
      </c>
      <c r="I121" s="20">
        <f>IF(J121="","",N(J120)*(1+Start!$E$15/12)-J121)</f>
        <v/>
      </c>
      <c r="J121" s="20">
        <f>IF(OR(OR(Calc!$B$4=0,$B121&gt;IF(Start!$D$10="Avalanche",Calc!$B$3,Calc!$B$2)),Calc!$B$7=0),"",IF(N(J120)&lt;=0.005,"",IF(Start!$D$10="Avalanche",INDEX(Calc!MI$75:MI$89,Calc!$F$7),INDEX(Calc!MI$50:MI$64,Calc!$D$7))))</f>
        <v/>
      </c>
      <c r="K121" s="20">
        <f>IF(L121="","",N(L120)*(1+Start!$E$16/12)-L121)</f>
        <v/>
      </c>
      <c r="L121" s="20">
        <f>IF(OR(OR(Calc!$B$4=0,$B121&gt;IF(Start!$D$10="Avalanche",Calc!$B$3,Calc!$B$2)),Calc!$B$8=0),"",IF(N(L120)&lt;=0.005,"",IF(Start!$D$10="Avalanche",INDEX(Calc!MI$75:MI$89,Calc!$F$8),INDEX(Calc!MI$50:MI$64,Calc!$D$8))))</f>
        <v/>
      </c>
      <c r="M121" s="20">
        <f>IF(N121="","",N(N120)*(1+Start!$E$17/12)-N121)</f>
        <v/>
      </c>
      <c r="N121" s="20">
        <f>IF(OR(OR(Calc!$B$4=0,$B121&gt;IF(Start!$D$10="Avalanche",Calc!$B$3,Calc!$B$2)),Calc!$B$9=0),"",IF(N(N120)&lt;=0.005,"",IF(Start!$D$10="Avalanche",INDEX(Calc!MI$75:MI$89,Calc!$F$9),INDEX(Calc!MI$50:MI$64,Calc!$D$9))))</f>
        <v/>
      </c>
      <c r="O121" s="20">
        <f>IF(P121="","",N(P120)*(1+Start!$E$18/12)-P121)</f>
        <v/>
      </c>
      <c r="P121" s="20">
        <f>IF(OR(OR(Calc!$B$4=0,$B121&gt;IF(Start!$D$10="Avalanche",Calc!$B$3,Calc!$B$2)),Calc!$B$10=0),"",IF(N(P120)&lt;=0.005,"",IF(Start!$D$10="Avalanche",INDEX(Calc!MI$75:MI$89,Calc!$F$10),INDEX(Calc!MI$50:MI$64,Calc!$D$10))))</f>
        <v/>
      </c>
      <c r="Q121" s="20">
        <f>IF(R121="","",N(R120)*(1+Start!$E$19/12)-R121)</f>
        <v/>
      </c>
      <c r="R121" s="20">
        <f>IF(OR(OR(Calc!$B$4=0,$B121&gt;IF(Start!$D$10="Avalanche",Calc!$B$3,Calc!$B$2)),Calc!$B$11=0),"",IF(N(R120)&lt;=0.005,"",IF(Start!$D$10="Avalanche",INDEX(Calc!MI$75:MI$89,Calc!$F$11),INDEX(Calc!MI$50:MI$64,Calc!$D$11))))</f>
        <v/>
      </c>
      <c r="S121" s="20">
        <f>IF(T121="","",N(T120)*(1+Start!$E$20/12)-T121)</f>
        <v/>
      </c>
      <c r="T121" s="20">
        <f>IF(OR(OR(Calc!$B$4=0,$B121&gt;IF(Start!$D$10="Avalanche",Calc!$B$3,Calc!$B$2)),Calc!$B$12=0),"",IF(N(T120)&lt;=0.005,"",IF(Start!$D$10="Avalanche",INDEX(Calc!MI$75:MI$89,Calc!$F$12),INDEX(Calc!MI$50:MI$64,Calc!$D$12))))</f>
        <v/>
      </c>
      <c r="U121" s="20">
        <f>IF(V121="","",N(V120)*(1+Start!$E$21/12)-V121)</f>
        <v/>
      </c>
      <c r="V121" s="20">
        <f>IF(OR(OR(Calc!$B$4=0,$B121&gt;IF(Start!$D$10="Avalanche",Calc!$B$3,Calc!$B$2)),Calc!$B$13=0),"",IF(N(V120)&lt;=0.005,"",IF(Start!$D$10="Avalanche",INDEX(Calc!MI$75:MI$89,Calc!$F$13),INDEX(Calc!MI$50:MI$64,Calc!$D$13))))</f>
        <v/>
      </c>
      <c r="W121" s="20">
        <f>IF(X121="","",N(X120)*(1+Start!$E$22/12)-X121)</f>
        <v/>
      </c>
      <c r="X121" s="20">
        <f>IF(OR(OR(Calc!$B$4=0,$B121&gt;IF(Start!$D$10="Avalanche",Calc!$B$3,Calc!$B$2)),Calc!$B$14=0),"",IF(N(X120)&lt;=0.005,"",IF(Start!$D$10="Avalanche",INDEX(Calc!MI$75:MI$89,Calc!$F$14),INDEX(Calc!MI$50:MI$64,Calc!$D$14))))</f>
        <v/>
      </c>
      <c r="Y121" s="20">
        <f>IF(Z121="","",N(Z120)*(1+Start!$E$23/12)-Z121)</f>
        <v/>
      </c>
      <c r="Z121" s="20">
        <f>IF(OR(OR(Calc!$B$4=0,$B121&gt;IF(Start!$D$10="Avalanche",Calc!$B$3,Calc!$B$2)),Calc!$B$15=0),"",IF(N(Z120)&lt;=0.005,"",IF(Start!$D$10="Avalanche",INDEX(Calc!MI$75:MI$89,Calc!$F$15),INDEX(Calc!MI$50:MI$64,Calc!$D$15))))</f>
        <v/>
      </c>
      <c r="AA121" s="20">
        <f>IF(AB121="","",N(AB120)*(1+Start!$E$24/12)-AB121)</f>
        <v/>
      </c>
      <c r="AB121" s="20">
        <f>IF(OR(OR(Calc!$B$4=0,$B121&gt;IF(Start!$D$10="Avalanche",Calc!$B$3,Calc!$B$2)),Calc!$B$16=0),"",IF(N(AB120)&lt;=0.005,"",IF(Start!$D$10="Avalanche",INDEX(Calc!MI$75:MI$89,Calc!$F$16),INDEX(Calc!MI$50:MI$64,Calc!$D$16))))</f>
        <v/>
      </c>
      <c r="AC121" s="20">
        <f>IF(AD121="","",N(AD120)*(1+Start!$E$25/12)-AD121)</f>
        <v/>
      </c>
      <c r="AD121" s="20">
        <f>IF(OR(OR(Calc!$B$4=0,$B121&gt;IF(Start!$D$10="Avalanche",Calc!$B$3,Calc!$B$2)),Calc!$B$17=0),"",IF(N(AD120)&lt;=0.005,"",IF(Start!$D$10="Avalanche",INDEX(Calc!MI$75:MI$89,Calc!$F$17),INDEX(Calc!MI$50:MI$64,Calc!$D$17))))</f>
        <v/>
      </c>
      <c r="AE121" s="20">
        <f>IF(AF121="","",N(AF120)*(1+Start!$E$26/12)-AF121)</f>
        <v/>
      </c>
      <c r="AF121" s="20">
        <f>IF(OR(OR(Calc!$B$4=0,$B121&gt;IF(Start!$D$10="Avalanche",Calc!$B$3,Calc!$B$2)),Calc!$B$18=0),"",IF(N(AF120)&lt;=0.005,"",IF(Start!$D$10="Avalanche",INDEX(Calc!MI$75:MI$89,Calc!$F$18),INDEX(Calc!MI$50:MI$64,Calc!$D$18))))</f>
        <v/>
      </c>
      <c r="AG121" s="20">
        <f>IF(AH121="","",N(AH120)*(1+Start!$E$27/12)-AH121)</f>
        <v/>
      </c>
      <c r="AH121" s="20">
        <f>IF(OR(OR(Calc!$B$4=0,$B121&gt;IF(Start!$D$10="Avalanche",Calc!$B$3,Calc!$B$2)),Calc!$B$19=0),"",IF(N(AH120)&lt;=0.005,"",IF(Start!$D$10="Avalanche",INDEX(Calc!MI$75:MI$89,Calc!$F$19),INDEX(Calc!MI$50:MI$64,Calc!$D$19))))</f>
        <v/>
      </c>
      <c r="AI121" s="20">
        <f>IF(AJ121="","",N(AJ120)*(1+Start!$E$28/12)-AJ121)</f>
        <v/>
      </c>
      <c r="AJ121" s="20">
        <f>IF(OR(OR(Calc!$B$4=0,$B121&gt;IF(Start!$D$10="Avalanche",Calc!$B$3,Calc!$B$2)),Calc!$B$20=0),"",IF(N(AJ120)&lt;=0.005,"",IF(Start!$D$10="Avalanche",INDEX(Calc!MI$75:MI$89,Calc!$F$20),INDEX(Calc!MI$50:MI$64,Calc!$D$20))))</f>
        <v/>
      </c>
    </row>
    <row r="122">
      <c r="B122" s="17" t="n">
        <v>116</v>
      </c>
      <c r="C122" s="19">
        <f>IF(Calc!$B$4=0,"",EDATE(Start!$D$11,115))</f>
        <v/>
      </c>
      <c r="D122" s="20">
        <f>IF(OR(Calc!$B$4=0,$B122&gt;IF(Start!$D$10="Avalanche",Calc!$B$3,Calc!$B$2)),"",SUM(G122,I122,K122,M122,O122,Q122,S122,U122,W122,Y122,AA122,AC122,AE122,AG122,AI122))</f>
        <v/>
      </c>
      <c r="E122" s="20">
        <f>IF(OR(Calc!$B$4=0,$B122&gt;IF(Start!$D$10="Avalanche",Calc!$B$3,Calc!$B$2)),"",IF(Start!$D$10="Avalanche",Calc!MJ$72,Calc!MJ$47))</f>
        <v/>
      </c>
      <c r="F122" s="21">
        <f>IF(Calc!$B$4=0,"",IF($B122&gt;IF(Start!$D$10="Avalanche",Calc!$B$3,Calc!$B$2),NA(),SUM(H122,J122,L122,N122,P122,R122,T122,V122,X122,Z122,AB122,AD122,AF122,AH122,AJ122)))</f>
        <v/>
      </c>
      <c r="G122" s="20">
        <f>IF(H122="","",N(H121)*(1+Start!$E$14/12)-H122)</f>
        <v/>
      </c>
      <c r="H122" s="20">
        <f>IF(OR(OR(Calc!$B$4=0,$B122&gt;IF(Start!$D$10="Avalanche",Calc!$B$3,Calc!$B$2)),Calc!$B$6=0),"",IF(N(H121)&lt;=0.005,"",IF(Start!$D$10="Avalanche",INDEX(Calc!ML$75:ML$89,Calc!$F$6),INDEX(Calc!ML$50:ML$64,Calc!$D$6))))</f>
        <v/>
      </c>
      <c r="I122" s="20">
        <f>IF(J122="","",N(J121)*(1+Start!$E$15/12)-J122)</f>
        <v/>
      </c>
      <c r="J122" s="20">
        <f>IF(OR(OR(Calc!$B$4=0,$B122&gt;IF(Start!$D$10="Avalanche",Calc!$B$3,Calc!$B$2)),Calc!$B$7=0),"",IF(N(J121)&lt;=0.005,"",IF(Start!$D$10="Avalanche",INDEX(Calc!ML$75:ML$89,Calc!$F$7),INDEX(Calc!ML$50:ML$64,Calc!$D$7))))</f>
        <v/>
      </c>
      <c r="K122" s="20">
        <f>IF(L122="","",N(L121)*(1+Start!$E$16/12)-L122)</f>
        <v/>
      </c>
      <c r="L122" s="20">
        <f>IF(OR(OR(Calc!$B$4=0,$B122&gt;IF(Start!$D$10="Avalanche",Calc!$B$3,Calc!$B$2)),Calc!$B$8=0),"",IF(N(L121)&lt;=0.005,"",IF(Start!$D$10="Avalanche",INDEX(Calc!ML$75:ML$89,Calc!$F$8),INDEX(Calc!ML$50:ML$64,Calc!$D$8))))</f>
        <v/>
      </c>
      <c r="M122" s="20">
        <f>IF(N122="","",N(N121)*(1+Start!$E$17/12)-N122)</f>
        <v/>
      </c>
      <c r="N122" s="20">
        <f>IF(OR(OR(Calc!$B$4=0,$B122&gt;IF(Start!$D$10="Avalanche",Calc!$B$3,Calc!$B$2)),Calc!$B$9=0),"",IF(N(N121)&lt;=0.005,"",IF(Start!$D$10="Avalanche",INDEX(Calc!ML$75:ML$89,Calc!$F$9),INDEX(Calc!ML$50:ML$64,Calc!$D$9))))</f>
        <v/>
      </c>
      <c r="O122" s="20">
        <f>IF(P122="","",N(P121)*(1+Start!$E$18/12)-P122)</f>
        <v/>
      </c>
      <c r="P122" s="20">
        <f>IF(OR(OR(Calc!$B$4=0,$B122&gt;IF(Start!$D$10="Avalanche",Calc!$B$3,Calc!$B$2)),Calc!$B$10=0),"",IF(N(P121)&lt;=0.005,"",IF(Start!$D$10="Avalanche",INDEX(Calc!ML$75:ML$89,Calc!$F$10),INDEX(Calc!ML$50:ML$64,Calc!$D$10))))</f>
        <v/>
      </c>
      <c r="Q122" s="20">
        <f>IF(R122="","",N(R121)*(1+Start!$E$19/12)-R122)</f>
        <v/>
      </c>
      <c r="R122" s="20">
        <f>IF(OR(OR(Calc!$B$4=0,$B122&gt;IF(Start!$D$10="Avalanche",Calc!$B$3,Calc!$B$2)),Calc!$B$11=0),"",IF(N(R121)&lt;=0.005,"",IF(Start!$D$10="Avalanche",INDEX(Calc!ML$75:ML$89,Calc!$F$11),INDEX(Calc!ML$50:ML$64,Calc!$D$11))))</f>
        <v/>
      </c>
      <c r="S122" s="20">
        <f>IF(T122="","",N(T121)*(1+Start!$E$20/12)-T122)</f>
        <v/>
      </c>
      <c r="T122" s="20">
        <f>IF(OR(OR(Calc!$B$4=0,$B122&gt;IF(Start!$D$10="Avalanche",Calc!$B$3,Calc!$B$2)),Calc!$B$12=0),"",IF(N(T121)&lt;=0.005,"",IF(Start!$D$10="Avalanche",INDEX(Calc!ML$75:ML$89,Calc!$F$12),INDEX(Calc!ML$50:ML$64,Calc!$D$12))))</f>
        <v/>
      </c>
      <c r="U122" s="20">
        <f>IF(V122="","",N(V121)*(1+Start!$E$21/12)-V122)</f>
        <v/>
      </c>
      <c r="V122" s="20">
        <f>IF(OR(OR(Calc!$B$4=0,$B122&gt;IF(Start!$D$10="Avalanche",Calc!$B$3,Calc!$B$2)),Calc!$B$13=0),"",IF(N(V121)&lt;=0.005,"",IF(Start!$D$10="Avalanche",INDEX(Calc!ML$75:ML$89,Calc!$F$13),INDEX(Calc!ML$50:ML$64,Calc!$D$13))))</f>
        <v/>
      </c>
      <c r="W122" s="20">
        <f>IF(X122="","",N(X121)*(1+Start!$E$22/12)-X122)</f>
        <v/>
      </c>
      <c r="X122" s="20">
        <f>IF(OR(OR(Calc!$B$4=0,$B122&gt;IF(Start!$D$10="Avalanche",Calc!$B$3,Calc!$B$2)),Calc!$B$14=0),"",IF(N(X121)&lt;=0.005,"",IF(Start!$D$10="Avalanche",INDEX(Calc!ML$75:ML$89,Calc!$F$14),INDEX(Calc!ML$50:ML$64,Calc!$D$14))))</f>
        <v/>
      </c>
      <c r="Y122" s="20">
        <f>IF(Z122="","",N(Z121)*(1+Start!$E$23/12)-Z122)</f>
        <v/>
      </c>
      <c r="Z122" s="20">
        <f>IF(OR(OR(Calc!$B$4=0,$B122&gt;IF(Start!$D$10="Avalanche",Calc!$B$3,Calc!$B$2)),Calc!$B$15=0),"",IF(N(Z121)&lt;=0.005,"",IF(Start!$D$10="Avalanche",INDEX(Calc!ML$75:ML$89,Calc!$F$15),INDEX(Calc!ML$50:ML$64,Calc!$D$15))))</f>
        <v/>
      </c>
      <c r="AA122" s="20">
        <f>IF(AB122="","",N(AB121)*(1+Start!$E$24/12)-AB122)</f>
        <v/>
      </c>
      <c r="AB122" s="20">
        <f>IF(OR(OR(Calc!$B$4=0,$B122&gt;IF(Start!$D$10="Avalanche",Calc!$B$3,Calc!$B$2)),Calc!$B$16=0),"",IF(N(AB121)&lt;=0.005,"",IF(Start!$D$10="Avalanche",INDEX(Calc!ML$75:ML$89,Calc!$F$16),INDEX(Calc!ML$50:ML$64,Calc!$D$16))))</f>
        <v/>
      </c>
      <c r="AC122" s="20">
        <f>IF(AD122="","",N(AD121)*(1+Start!$E$25/12)-AD122)</f>
        <v/>
      </c>
      <c r="AD122" s="20">
        <f>IF(OR(OR(Calc!$B$4=0,$B122&gt;IF(Start!$D$10="Avalanche",Calc!$B$3,Calc!$B$2)),Calc!$B$17=0),"",IF(N(AD121)&lt;=0.005,"",IF(Start!$D$10="Avalanche",INDEX(Calc!ML$75:ML$89,Calc!$F$17),INDEX(Calc!ML$50:ML$64,Calc!$D$17))))</f>
        <v/>
      </c>
      <c r="AE122" s="20">
        <f>IF(AF122="","",N(AF121)*(1+Start!$E$26/12)-AF122)</f>
        <v/>
      </c>
      <c r="AF122" s="20">
        <f>IF(OR(OR(Calc!$B$4=0,$B122&gt;IF(Start!$D$10="Avalanche",Calc!$B$3,Calc!$B$2)),Calc!$B$18=0),"",IF(N(AF121)&lt;=0.005,"",IF(Start!$D$10="Avalanche",INDEX(Calc!ML$75:ML$89,Calc!$F$18),INDEX(Calc!ML$50:ML$64,Calc!$D$18))))</f>
        <v/>
      </c>
      <c r="AG122" s="20">
        <f>IF(AH122="","",N(AH121)*(1+Start!$E$27/12)-AH122)</f>
        <v/>
      </c>
      <c r="AH122" s="20">
        <f>IF(OR(OR(Calc!$B$4=0,$B122&gt;IF(Start!$D$10="Avalanche",Calc!$B$3,Calc!$B$2)),Calc!$B$19=0),"",IF(N(AH121)&lt;=0.005,"",IF(Start!$D$10="Avalanche",INDEX(Calc!ML$75:ML$89,Calc!$F$19),INDEX(Calc!ML$50:ML$64,Calc!$D$19))))</f>
        <v/>
      </c>
      <c r="AI122" s="20">
        <f>IF(AJ122="","",N(AJ121)*(1+Start!$E$28/12)-AJ122)</f>
        <v/>
      </c>
      <c r="AJ122" s="20">
        <f>IF(OR(OR(Calc!$B$4=0,$B122&gt;IF(Start!$D$10="Avalanche",Calc!$B$3,Calc!$B$2)),Calc!$B$20=0),"",IF(N(AJ121)&lt;=0.005,"",IF(Start!$D$10="Avalanche",INDEX(Calc!ML$75:ML$89,Calc!$F$20),INDEX(Calc!ML$50:ML$64,Calc!$D$20))))</f>
        <v/>
      </c>
    </row>
    <row r="123">
      <c r="B123" s="17" t="n">
        <v>117</v>
      </c>
      <c r="C123" s="19">
        <f>IF(Calc!$B$4=0,"",EDATE(Start!$D$11,116))</f>
        <v/>
      </c>
      <c r="D123" s="20">
        <f>IF(OR(Calc!$B$4=0,$B123&gt;IF(Start!$D$10="Avalanche",Calc!$B$3,Calc!$B$2)),"",SUM(G123,I123,K123,M123,O123,Q123,S123,U123,W123,Y123,AA123,AC123,AE123,AG123,AI123))</f>
        <v/>
      </c>
      <c r="E123" s="20">
        <f>IF(OR(Calc!$B$4=0,$B123&gt;IF(Start!$D$10="Avalanche",Calc!$B$3,Calc!$B$2)),"",IF(Start!$D$10="Avalanche",Calc!MM$72,Calc!MM$47))</f>
        <v/>
      </c>
      <c r="F123" s="21">
        <f>IF(Calc!$B$4=0,"",IF($B123&gt;IF(Start!$D$10="Avalanche",Calc!$B$3,Calc!$B$2),NA(),SUM(H123,J123,L123,N123,P123,R123,T123,V123,X123,Z123,AB123,AD123,AF123,AH123,AJ123)))</f>
        <v/>
      </c>
      <c r="G123" s="20">
        <f>IF(H123="","",N(H122)*(1+Start!$E$14/12)-H123)</f>
        <v/>
      </c>
      <c r="H123" s="20">
        <f>IF(OR(OR(Calc!$B$4=0,$B123&gt;IF(Start!$D$10="Avalanche",Calc!$B$3,Calc!$B$2)),Calc!$B$6=0),"",IF(N(H122)&lt;=0.005,"",IF(Start!$D$10="Avalanche",INDEX(Calc!MO$75:MO$89,Calc!$F$6),INDEX(Calc!MO$50:MO$64,Calc!$D$6))))</f>
        <v/>
      </c>
      <c r="I123" s="20">
        <f>IF(J123="","",N(J122)*(1+Start!$E$15/12)-J123)</f>
        <v/>
      </c>
      <c r="J123" s="20">
        <f>IF(OR(OR(Calc!$B$4=0,$B123&gt;IF(Start!$D$10="Avalanche",Calc!$B$3,Calc!$B$2)),Calc!$B$7=0),"",IF(N(J122)&lt;=0.005,"",IF(Start!$D$10="Avalanche",INDEX(Calc!MO$75:MO$89,Calc!$F$7),INDEX(Calc!MO$50:MO$64,Calc!$D$7))))</f>
        <v/>
      </c>
      <c r="K123" s="20">
        <f>IF(L123="","",N(L122)*(1+Start!$E$16/12)-L123)</f>
        <v/>
      </c>
      <c r="L123" s="20">
        <f>IF(OR(OR(Calc!$B$4=0,$B123&gt;IF(Start!$D$10="Avalanche",Calc!$B$3,Calc!$B$2)),Calc!$B$8=0),"",IF(N(L122)&lt;=0.005,"",IF(Start!$D$10="Avalanche",INDEX(Calc!MO$75:MO$89,Calc!$F$8),INDEX(Calc!MO$50:MO$64,Calc!$D$8))))</f>
        <v/>
      </c>
      <c r="M123" s="20">
        <f>IF(N123="","",N(N122)*(1+Start!$E$17/12)-N123)</f>
        <v/>
      </c>
      <c r="N123" s="20">
        <f>IF(OR(OR(Calc!$B$4=0,$B123&gt;IF(Start!$D$10="Avalanche",Calc!$B$3,Calc!$B$2)),Calc!$B$9=0),"",IF(N(N122)&lt;=0.005,"",IF(Start!$D$10="Avalanche",INDEX(Calc!MO$75:MO$89,Calc!$F$9),INDEX(Calc!MO$50:MO$64,Calc!$D$9))))</f>
        <v/>
      </c>
      <c r="O123" s="20">
        <f>IF(P123="","",N(P122)*(1+Start!$E$18/12)-P123)</f>
        <v/>
      </c>
      <c r="P123" s="20">
        <f>IF(OR(OR(Calc!$B$4=0,$B123&gt;IF(Start!$D$10="Avalanche",Calc!$B$3,Calc!$B$2)),Calc!$B$10=0),"",IF(N(P122)&lt;=0.005,"",IF(Start!$D$10="Avalanche",INDEX(Calc!MO$75:MO$89,Calc!$F$10),INDEX(Calc!MO$50:MO$64,Calc!$D$10))))</f>
        <v/>
      </c>
      <c r="Q123" s="20">
        <f>IF(R123="","",N(R122)*(1+Start!$E$19/12)-R123)</f>
        <v/>
      </c>
      <c r="R123" s="20">
        <f>IF(OR(OR(Calc!$B$4=0,$B123&gt;IF(Start!$D$10="Avalanche",Calc!$B$3,Calc!$B$2)),Calc!$B$11=0),"",IF(N(R122)&lt;=0.005,"",IF(Start!$D$10="Avalanche",INDEX(Calc!MO$75:MO$89,Calc!$F$11),INDEX(Calc!MO$50:MO$64,Calc!$D$11))))</f>
        <v/>
      </c>
      <c r="S123" s="20">
        <f>IF(T123="","",N(T122)*(1+Start!$E$20/12)-T123)</f>
        <v/>
      </c>
      <c r="T123" s="20">
        <f>IF(OR(OR(Calc!$B$4=0,$B123&gt;IF(Start!$D$10="Avalanche",Calc!$B$3,Calc!$B$2)),Calc!$B$12=0),"",IF(N(T122)&lt;=0.005,"",IF(Start!$D$10="Avalanche",INDEX(Calc!MO$75:MO$89,Calc!$F$12),INDEX(Calc!MO$50:MO$64,Calc!$D$12))))</f>
        <v/>
      </c>
      <c r="U123" s="20">
        <f>IF(V123="","",N(V122)*(1+Start!$E$21/12)-V123)</f>
        <v/>
      </c>
      <c r="V123" s="20">
        <f>IF(OR(OR(Calc!$B$4=0,$B123&gt;IF(Start!$D$10="Avalanche",Calc!$B$3,Calc!$B$2)),Calc!$B$13=0),"",IF(N(V122)&lt;=0.005,"",IF(Start!$D$10="Avalanche",INDEX(Calc!MO$75:MO$89,Calc!$F$13),INDEX(Calc!MO$50:MO$64,Calc!$D$13))))</f>
        <v/>
      </c>
      <c r="W123" s="20">
        <f>IF(X123="","",N(X122)*(1+Start!$E$22/12)-X123)</f>
        <v/>
      </c>
      <c r="X123" s="20">
        <f>IF(OR(OR(Calc!$B$4=0,$B123&gt;IF(Start!$D$10="Avalanche",Calc!$B$3,Calc!$B$2)),Calc!$B$14=0),"",IF(N(X122)&lt;=0.005,"",IF(Start!$D$10="Avalanche",INDEX(Calc!MO$75:MO$89,Calc!$F$14),INDEX(Calc!MO$50:MO$64,Calc!$D$14))))</f>
        <v/>
      </c>
      <c r="Y123" s="20">
        <f>IF(Z123="","",N(Z122)*(1+Start!$E$23/12)-Z123)</f>
        <v/>
      </c>
      <c r="Z123" s="20">
        <f>IF(OR(OR(Calc!$B$4=0,$B123&gt;IF(Start!$D$10="Avalanche",Calc!$B$3,Calc!$B$2)),Calc!$B$15=0),"",IF(N(Z122)&lt;=0.005,"",IF(Start!$D$10="Avalanche",INDEX(Calc!MO$75:MO$89,Calc!$F$15),INDEX(Calc!MO$50:MO$64,Calc!$D$15))))</f>
        <v/>
      </c>
      <c r="AA123" s="20">
        <f>IF(AB123="","",N(AB122)*(1+Start!$E$24/12)-AB123)</f>
        <v/>
      </c>
      <c r="AB123" s="20">
        <f>IF(OR(OR(Calc!$B$4=0,$B123&gt;IF(Start!$D$10="Avalanche",Calc!$B$3,Calc!$B$2)),Calc!$B$16=0),"",IF(N(AB122)&lt;=0.005,"",IF(Start!$D$10="Avalanche",INDEX(Calc!MO$75:MO$89,Calc!$F$16),INDEX(Calc!MO$50:MO$64,Calc!$D$16))))</f>
        <v/>
      </c>
      <c r="AC123" s="20">
        <f>IF(AD123="","",N(AD122)*(1+Start!$E$25/12)-AD123)</f>
        <v/>
      </c>
      <c r="AD123" s="20">
        <f>IF(OR(OR(Calc!$B$4=0,$B123&gt;IF(Start!$D$10="Avalanche",Calc!$B$3,Calc!$B$2)),Calc!$B$17=0),"",IF(N(AD122)&lt;=0.005,"",IF(Start!$D$10="Avalanche",INDEX(Calc!MO$75:MO$89,Calc!$F$17),INDEX(Calc!MO$50:MO$64,Calc!$D$17))))</f>
        <v/>
      </c>
      <c r="AE123" s="20">
        <f>IF(AF123="","",N(AF122)*(1+Start!$E$26/12)-AF123)</f>
        <v/>
      </c>
      <c r="AF123" s="20">
        <f>IF(OR(OR(Calc!$B$4=0,$B123&gt;IF(Start!$D$10="Avalanche",Calc!$B$3,Calc!$B$2)),Calc!$B$18=0),"",IF(N(AF122)&lt;=0.005,"",IF(Start!$D$10="Avalanche",INDEX(Calc!MO$75:MO$89,Calc!$F$18),INDEX(Calc!MO$50:MO$64,Calc!$D$18))))</f>
        <v/>
      </c>
      <c r="AG123" s="20">
        <f>IF(AH123="","",N(AH122)*(1+Start!$E$27/12)-AH123)</f>
        <v/>
      </c>
      <c r="AH123" s="20">
        <f>IF(OR(OR(Calc!$B$4=0,$B123&gt;IF(Start!$D$10="Avalanche",Calc!$B$3,Calc!$B$2)),Calc!$B$19=0),"",IF(N(AH122)&lt;=0.005,"",IF(Start!$D$10="Avalanche",INDEX(Calc!MO$75:MO$89,Calc!$F$19),INDEX(Calc!MO$50:MO$64,Calc!$D$19))))</f>
        <v/>
      </c>
      <c r="AI123" s="20">
        <f>IF(AJ123="","",N(AJ122)*(1+Start!$E$28/12)-AJ123)</f>
        <v/>
      </c>
      <c r="AJ123" s="20">
        <f>IF(OR(OR(Calc!$B$4=0,$B123&gt;IF(Start!$D$10="Avalanche",Calc!$B$3,Calc!$B$2)),Calc!$B$20=0),"",IF(N(AJ122)&lt;=0.005,"",IF(Start!$D$10="Avalanche",INDEX(Calc!MO$75:MO$89,Calc!$F$20),INDEX(Calc!MO$50:MO$64,Calc!$D$20))))</f>
        <v/>
      </c>
    </row>
    <row r="124">
      <c r="B124" s="17" t="n">
        <v>118</v>
      </c>
      <c r="C124" s="19">
        <f>IF(Calc!$B$4=0,"",EDATE(Start!$D$11,117))</f>
        <v/>
      </c>
      <c r="D124" s="20">
        <f>IF(OR(Calc!$B$4=0,$B124&gt;IF(Start!$D$10="Avalanche",Calc!$B$3,Calc!$B$2)),"",SUM(G124,I124,K124,M124,O124,Q124,S124,U124,W124,Y124,AA124,AC124,AE124,AG124,AI124))</f>
        <v/>
      </c>
      <c r="E124" s="20">
        <f>IF(OR(Calc!$B$4=0,$B124&gt;IF(Start!$D$10="Avalanche",Calc!$B$3,Calc!$B$2)),"",IF(Start!$D$10="Avalanche",Calc!MP$72,Calc!MP$47))</f>
        <v/>
      </c>
      <c r="F124" s="21">
        <f>IF(Calc!$B$4=0,"",IF($B124&gt;IF(Start!$D$10="Avalanche",Calc!$B$3,Calc!$B$2),NA(),SUM(H124,J124,L124,N124,P124,R124,T124,V124,X124,Z124,AB124,AD124,AF124,AH124,AJ124)))</f>
        <v/>
      </c>
      <c r="G124" s="20">
        <f>IF(H124="","",N(H123)*(1+Start!$E$14/12)-H124)</f>
        <v/>
      </c>
      <c r="H124" s="20">
        <f>IF(OR(OR(Calc!$B$4=0,$B124&gt;IF(Start!$D$10="Avalanche",Calc!$B$3,Calc!$B$2)),Calc!$B$6=0),"",IF(N(H123)&lt;=0.005,"",IF(Start!$D$10="Avalanche",INDEX(Calc!MR$75:MR$89,Calc!$F$6),INDEX(Calc!MR$50:MR$64,Calc!$D$6))))</f>
        <v/>
      </c>
      <c r="I124" s="20">
        <f>IF(J124="","",N(J123)*(1+Start!$E$15/12)-J124)</f>
        <v/>
      </c>
      <c r="J124" s="20">
        <f>IF(OR(OR(Calc!$B$4=0,$B124&gt;IF(Start!$D$10="Avalanche",Calc!$B$3,Calc!$B$2)),Calc!$B$7=0),"",IF(N(J123)&lt;=0.005,"",IF(Start!$D$10="Avalanche",INDEX(Calc!MR$75:MR$89,Calc!$F$7),INDEX(Calc!MR$50:MR$64,Calc!$D$7))))</f>
        <v/>
      </c>
      <c r="K124" s="20">
        <f>IF(L124="","",N(L123)*(1+Start!$E$16/12)-L124)</f>
        <v/>
      </c>
      <c r="L124" s="20">
        <f>IF(OR(OR(Calc!$B$4=0,$B124&gt;IF(Start!$D$10="Avalanche",Calc!$B$3,Calc!$B$2)),Calc!$B$8=0),"",IF(N(L123)&lt;=0.005,"",IF(Start!$D$10="Avalanche",INDEX(Calc!MR$75:MR$89,Calc!$F$8),INDEX(Calc!MR$50:MR$64,Calc!$D$8))))</f>
        <v/>
      </c>
      <c r="M124" s="20">
        <f>IF(N124="","",N(N123)*(1+Start!$E$17/12)-N124)</f>
        <v/>
      </c>
      <c r="N124" s="20">
        <f>IF(OR(OR(Calc!$B$4=0,$B124&gt;IF(Start!$D$10="Avalanche",Calc!$B$3,Calc!$B$2)),Calc!$B$9=0),"",IF(N(N123)&lt;=0.005,"",IF(Start!$D$10="Avalanche",INDEX(Calc!MR$75:MR$89,Calc!$F$9),INDEX(Calc!MR$50:MR$64,Calc!$D$9))))</f>
        <v/>
      </c>
      <c r="O124" s="20">
        <f>IF(P124="","",N(P123)*(1+Start!$E$18/12)-P124)</f>
        <v/>
      </c>
      <c r="P124" s="20">
        <f>IF(OR(OR(Calc!$B$4=0,$B124&gt;IF(Start!$D$10="Avalanche",Calc!$B$3,Calc!$B$2)),Calc!$B$10=0),"",IF(N(P123)&lt;=0.005,"",IF(Start!$D$10="Avalanche",INDEX(Calc!MR$75:MR$89,Calc!$F$10),INDEX(Calc!MR$50:MR$64,Calc!$D$10))))</f>
        <v/>
      </c>
      <c r="Q124" s="20">
        <f>IF(R124="","",N(R123)*(1+Start!$E$19/12)-R124)</f>
        <v/>
      </c>
      <c r="R124" s="20">
        <f>IF(OR(OR(Calc!$B$4=0,$B124&gt;IF(Start!$D$10="Avalanche",Calc!$B$3,Calc!$B$2)),Calc!$B$11=0),"",IF(N(R123)&lt;=0.005,"",IF(Start!$D$10="Avalanche",INDEX(Calc!MR$75:MR$89,Calc!$F$11),INDEX(Calc!MR$50:MR$64,Calc!$D$11))))</f>
        <v/>
      </c>
      <c r="S124" s="20">
        <f>IF(T124="","",N(T123)*(1+Start!$E$20/12)-T124)</f>
        <v/>
      </c>
      <c r="T124" s="20">
        <f>IF(OR(OR(Calc!$B$4=0,$B124&gt;IF(Start!$D$10="Avalanche",Calc!$B$3,Calc!$B$2)),Calc!$B$12=0),"",IF(N(T123)&lt;=0.005,"",IF(Start!$D$10="Avalanche",INDEX(Calc!MR$75:MR$89,Calc!$F$12),INDEX(Calc!MR$50:MR$64,Calc!$D$12))))</f>
        <v/>
      </c>
      <c r="U124" s="20">
        <f>IF(V124="","",N(V123)*(1+Start!$E$21/12)-V124)</f>
        <v/>
      </c>
      <c r="V124" s="20">
        <f>IF(OR(OR(Calc!$B$4=0,$B124&gt;IF(Start!$D$10="Avalanche",Calc!$B$3,Calc!$B$2)),Calc!$B$13=0),"",IF(N(V123)&lt;=0.005,"",IF(Start!$D$10="Avalanche",INDEX(Calc!MR$75:MR$89,Calc!$F$13),INDEX(Calc!MR$50:MR$64,Calc!$D$13))))</f>
        <v/>
      </c>
      <c r="W124" s="20">
        <f>IF(X124="","",N(X123)*(1+Start!$E$22/12)-X124)</f>
        <v/>
      </c>
      <c r="X124" s="20">
        <f>IF(OR(OR(Calc!$B$4=0,$B124&gt;IF(Start!$D$10="Avalanche",Calc!$B$3,Calc!$B$2)),Calc!$B$14=0),"",IF(N(X123)&lt;=0.005,"",IF(Start!$D$10="Avalanche",INDEX(Calc!MR$75:MR$89,Calc!$F$14),INDEX(Calc!MR$50:MR$64,Calc!$D$14))))</f>
        <v/>
      </c>
      <c r="Y124" s="20">
        <f>IF(Z124="","",N(Z123)*(1+Start!$E$23/12)-Z124)</f>
        <v/>
      </c>
      <c r="Z124" s="20">
        <f>IF(OR(OR(Calc!$B$4=0,$B124&gt;IF(Start!$D$10="Avalanche",Calc!$B$3,Calc!$B$2)),Calc!$B$15=0),"",IF(N(Z123)&lt;=0.005,"",IF(Start!$D$10="Avalanche",INDEX(Calc!MR$75:MR$89,Calc!$F$15),INDEX(Calc!MR$50:MR$64,Calc!$D$15))))</f>
        <v/>
      </c>
      <c r="AA124" s="20">
        <f>IF(AB124="","",N(AB123)*(1+Start!$E$24/12)-AB124)</f>
        <v/>
      </c>
      <c r="AB124" s="20">
        <f>IF(OR(OR(Calc!$B$4=0,$B124&gt;IF(Start!$D$10="Avalanche",Calc!$B$3,Calc!$B$2)),Calc!$B$16=0),"",IF(N(AB123)&lt;=0.005,"",IF(Start!$D$10="Avalanche",INDEX(Calc!MR$75:MR$89,Calc!$F$16),INDEX(Calc!MR$50:MR$64,Calc!$D$16))))</f>
        <v/>
      </c>
      <c r="AC124" s="20">
        <f>IF(AD124="","",N(AD123)*(1+Start!$E$25/12)-AD124)</f>
        <v/>
      </c>
      <c r="AD124" s="20">
        <f>IF(OR(OR(Calc!$B$4=0,$B124&gt;IF(Start!$D$10="Avalanche",Calc!$B$3,Calc!$B$2)),Calc!$B$17=0),"",IF(N(AD123)&lt;=0.005,"",IF(Start!$D$10="Avalanche",INDEX(Calc!MR$75:MR$89,Calc!$F$17),INDEX(Calc!MR$50:MR$64,Calc!$D$17))))</f>
        <v/>
      </c>
      <c r="AE124" s="20">
        <f>IF(AF124="","",N(AF123)*(1+Start!$E$26/12)-AF124)</f>
        <v/>
      </c>
      <c r="AF124" s="20">
        <f>IF(OR(OR(Calc!$B$4=0,$B124&gt;IF(Start!$D$10="Avalanche",Calc!$B$3,Calc!$B$2)),Calc!$B$18=0),"",IF(N(AF123)&lt;=0.005,"",IF(Start!$D$10="Avalanche",INDEX(Calc!MR$75:MR$89,Calc!$F$18),INDEX(Calc!MR$50:MR$64,Calc!$D$18))))</f>
        <v/>
      </c>
      <c r="AG124" s="20">
        <f>IF(AH124="","",N(AH123)*(1+Start!$E$27/12)-AH124)</f>
        <v/>
      </c>
      <c r="AH124" s="20">
        <f>IF(OR(OR(Calc!$B$4=0,$B124&gt;IF(Start!$D$10="Avalanche",Calc!$B$3,Calc!$B$2)),Calc!$B$19=0),"",IF(N(AH123)&lt;=0.005,"",IF(Start!$D$10="Avalanche",INDEX(Calc!MR$75:MR$89,Calc!$F$19),INDEX(Calc!MR$50:MR$64,Calc!$D$19))))</f>
        <v/>
      </c>
      <c r="AI124" s="20">
        <f>IF(AJ124="","",N(AJ123)*(1+Start!$E$28/12)-AJ124)</f>
        <v/>
      </c>
      <c r="AJ124" s="20">
        <f>IF(OR(OR(Calc!$B$4=0,$B124&gt;IF(Start!$D$10="Avalanche",Calc!$B$3,Calc!$B$2)),Calc!$B$20=0),"",IF(N(AJ123)&lt;=0.005,"",IF(Start!$D$10="Avalanche",INDEX(Calc!MR$75:MR$89,Calc!$F$20),INDEX(Calc!MR$50:MR$64,Calc!$D$20))))</f>
        <v/>
      </c>
    </row>
    <row r="125">
      <c r="B125" s="17" t="n">
        <v>119</v>
      </c>
      <c r="C125" s="19">
        <f>IF(Calc!$B$4=0,"",EDATE(Start!$D$11,118))</f>
        <v/>
      </c>
      <c r="D125" s="20">
        <f>IF(OR(Calc!$B$4=0,$B125&gt;IF(Start!$D$10="Avalanche",Calc!$B$3,Calc!$B$2)),"",SUM(G125,I125,K125,M125,O125,Q125,S125,U125,W125,Y125,AA125,AC125,AE125,AG125,AI125))</f>
        <v/>
      </c>
      <c r="E125" s="20">
        <f>IF(OR(Calc!$B$4=0,$B125&gt;IF(Start!$D$10="Avalanche",Calc!$B$3,Calc!$B$2)),"",IF(Start!$D$10="Avalanche",Calc!MS$72,Calc!MS$47))</f>
        <v/>
      </c>
      <c r="F125" s="21">
        <f>IF(Calc!$B$4=0,"",IF($B125&gt;IF(Start!$D$10="Avalanche",Calc!$B$3,Calc!$B$2),NA(),SUM(H125,J125,L125,N125,P125,R125,T125,V125,X125,Z125,AB125,AD125,AF125,AH125,AJ125)))</f>
        <v/>
      </c>
      <c r="G125" s="20">
        <f>IF(H125="","",N(H124)*(1+Start!$E$14/12)-H125)</f>
        <v/>
      </c>
      <c r="H125" s="20">
        <f>IF(OR(OR(Calc!$B$4=0,$B125&gt;IF(Start!$D$10="Avalanche",Calc!$B$3,Calc!$B$2)),Calc!$B$6=0),"",IF(N(H124)&lt;=0.005,"",IF(Start!$D$10="Avalanche",INDEX(Calc!MU$75:MU$89,Calc!$F$6),INDEX(Calc!MU$50:MU$64,Calc!$D$6))))</f>
        <v/>
      </c>
      <c r="I125" s="20">
        <f>IF(J125="","",N(J124)*(1+Start!$E$15/12)-J125)</f>
        <v/>
      </c>
      <c r="J125" s="20">
        <f>IF(OR(OR(Calc!$B$4=0,$B125&gt;IF(Start!$D$10="Avalanche",Calc!$B$3,Calc!$B$2)),Calc!$B$7=0),"",IF(N(J124)&lt;=0.005,"",IF(Start!$D$10="Avalanche",INDEX(Calc!MU$75:MU$89,Calc!$F$7),INDEX(Calc!MU$50:MU$64,Calc!$D$7))))</f>
        <v/>
      </c>
      <c r="K125" s="20">
        <f>IF(L125="","",N(L124)*(1+Start!$E$16/12)-L125)</f>
        <v/>
      </c>
      <c r="L125" s="20">
        <f>IF(OR(OR(Calc!$B$4=0,$B125&gt;IF(Start!$D$10="Avalanche",Calc!$B$3,Calc!$B$2)),Calc!$B$8=0),"",IF(N(L124)&lt;=0.005,"",IF(Start!$D$10="Avalanche",INDEX(Calc!MU$75:MU$89,Calc!$F$8),INDEX(Calc!MU$50:MU$64,Calc!$D$8))))</f>
        <v/>
      </c>
      <c r="M125" s="20">
        <f>IF(N125="","",N(N124)*(1+Start!$E$17/12)-N125)</f>
        <v/>
      </c>
      <c r="N125" s="20">
        <f>IF(OR(OR(Calc!$B$4=0,$B125&gt;IF(Start!$D$10="Avalanche",Calc!$B$3,Calc!$B$2)),Calc!$B$9=0),"",IF(N(N124)&lt;=0.005,"",IF(Start!$D$10="Avalanche",INDEX(Calc!MU$75:MU$89,Calc!$F$9),INDEX(Calc!MU$50:MU$64,Calc!$D$9))))</f>
        <v/>
      </c>
      <c r="O125" s="20">
        <f>IF(P125="","",N(P124)*(1+Start!$E$18/12)-P125)</f>
        <v/>
      </c>
      <c r="P125" s="20">
        <f>IF(OR(OR(Calc!$B$4=0,$B125&gt;IF(Start!$D$10="Avalanche",Calc!$B$3,Calc!$B$2)),Calc!$B$10=0),"",IF(N(P124)&lt;=0.005,"",IF(Start!$D$10="Avalanche",INDEX(Calc!MU$75:MU$89,Calc!$F$10),INDEX(Calc!MU$50:MU$64,Calc!$D$10))))</f>
        <v/>
      </c>
      <c r="Q125" s="20">
        <f>IF(R125="","",N(R124)*(1+Start!$E$19/12)-R125)</f>
        <v/>
      </c>
      <c r="R125" s="20">
        <f>IF(OR(OR(Calc!$B$4=0,$B125&gt;IF(Start!$D$10="Avalanche",Calc!$B$3,Calc!$B$2)),Calc!$B$11=0),"",IF(N(R124)&lt;=0.005,"",IF(Start!$D$10="Avalanche",INDEX(Calc!MU$75:MU$89,Calc!$F$11),INDEX(Calc!MU$50:MU$64,Calc!$D$11))))</f>
        <v/>
      </c>
      <c r="S125" s="20">
        <f>IF(T125="","",N(T124)*(1+Start!$E$20/12)-T125)</f>
        <v/>
      </c>
      <c r="T125" s="20">
        <f>IF(OR(OR(Calc!$B$4=0,$B125&gt;IF(Start!$D$10="Avalanche",Calc!$B$3,Calc!$B$2)),Calc!$B$12=0),"",IF(N(T124)&lt;=0.005,"",IF(Start!$D$10="Avalanche",INDEX(Calc!MU$75:MU$89,Calc!$F$12),INDEX(Calc!MU$50:MU$64,Calc!$D$12))))</f>
        <v/>
      </c>
      <c r="U125" s="20">
        <f>IF(V125="","",N(V124)*(1+Start!$E$21/12)-V125)</f>
        <v/>
      </c>
      <c r="V125" s="20">
        <f>IF(OR(OR(Calc!$B$4=0,$B125&gt;IF(Start!$D$10="Avalanche",Calc!$B$3,Calc!$B$2)),Calc!$B$13=0),"",IF(N(V124)&lt;=0.005,"",IF(Start!$D$10="Avalanche",INDEX(Calc!MU$75:MU$89,Calc!$F$13),INDEX(Calc!MU$50:MU$64,Calc!$D$13))))</f>
        <v/>
      </c>
      <c r="W125" s="20">
        <f>IF(X125="","",N(X124)*(1+Start!$E$22/12)-X125)</f>
        <v/>
      </c>
      <c r="X125" s="20">
        <f>IF(OR(OR(Calc!$B$4=0,$B125&gt;IF(Start!$D$10="Avalanche",Calc!$B$3,Calc!$B$2)),Calc!$B$14=0),"",IF(N(X124)&lt;=0.005,"",IF(Start!$D$10="Avalanche",INDEX(Calc!MU$75:MU$89,Calc!$F$14),INDEX(Calc!MU$50:MU$64,Calc!$D$14))))</f>
        <v/>
      </c>
      <c r="Y125" s="20">
        <f>IF(Z125="","",N(Z124)*(1+Start!$E$23/12)-Z125)</f>
        <v/>
      </c>
      <c r="Z125" s="20">
        <f>IF(OR(OR(Calc!$B$4=0,$B125&gt;IF(Start!$D$10="Avalanche",Calc!$B$3,Calc!$B$2)),Calc!$B$15=0),"",IF(N(Z124)&lt;=0.005,"",IF(Start!$D$10="Avalanche",INDEX(Calc!MU$75:MU$89,Calc!$F$15),INDEX(Calc!MU$50:MU$64,Calc!$D$15))))</f>
        <v/>
      </c>
      <c r="AA125" s="20">
        <f>IF(AB125="","",N(AB124)*(1+Start!$E$24/12)-AB125)</f>
        <v/>
      </c>
      <c r="AB125" s="20">
        <f>IF(OR(OR(Calc!$B$4=0,$B125&gt;IF(Start!$D$10="Avalanche",Calc!$B$3,Calc!$B$2)),Calc!$B$16=0),"",IF(N(AB124)&lt;=0.005,"",IF(Start!$D$10="Avalanche",INDEX(Calc!MU$75:MU$89,Calc!$F$16),INDEX(Calc!MU$50:MU$64,Calc!$D$16))))</f>
        <v/>
      </c>
      <c r="AC125" s="20">
        <f>IF(AD125="","",N(AD124)*(1+Start!$E$25/12)-AD125)</f>
        <v/>
      </c>
      <c r="AD125" s="20">
        <f>IF(OR(OR(Calc!$B$4=0,$B125&gt;IF(Start!$D$10="Avalanche",Calc!$B$3,Calc!$B$2)),Calc!$B$17=0),"",IF(N(AD124)&lt;=0.005,"",IF(Start!$D$10="Avalanche",INDEX(Calc!MU$75:MU$89,Calc!$F$17),INDEX(Calc!MU$50:MU$64,Calc!$D$17))))</f>
        <v/>
      </c>
      <c r="AE125" s="20">
        <f>IF(AF125="","",N(AF124)*(1+Start!$E$26/12)-AF125)</f>
        <v/>
      </c>
      <c r="AF125" s="20">
        <f>IF(OR(OR(Calc!$B$4=0,$B125&gt;IF(Start!$D$10="Avalanche",Calc!$B$3,Calc!$B$2)),Calc!$B$18=0),"",IF(N(AF124)&lt;=0.005,"",IF(Start!$D$10="Avalanche",INDEX(Calc!MU$75:MU$89,Calc!$F$18),INDEX(Calc!MU$50:MU$64,Calc!$D$18))))</f>
        <v/>
      </c>
      <c r="AG125" s="20">
        <f>IF(AH125="","",N(AH124)*(1+Start!$E$27/12)-AH125)</f>
        <v/>
      </c>
      <c r="AH125" s="20">
        <f>IF(OR(OR(Calc!$B$4=0,$B125&gt;IF(Start!$D$10="Avalanche",Calc!$B$3,Calc!$B$2)),Calc!$B$19=0),"",IF(N(AH124)&lt;=0.005,"",IF(Start!$D$10="Avalanche",INDEX(Calc!MU$75:MU$89,Calc!$F$19),INDEX(Calc!MU$50:MU$64,Calc!$D$19))))</f>
        <v/>
      </c>
      <c r="AI125" s="20">
        <f>IF(AJ125="","",N(AJ124)*(1+Start!$E$28/12)-AJ125)</f>
        <v/>
      </c>
      <c r="AJ125" s="20">
        <f>IF(OR(OR(Calc!$B$4=0,$B125&gt;IF(Start!$D$10="Avalanche",Calc!$B$3,Calc!$B$2)),Calc!$B$20=0),"",IF(N(AJ124)&lt;=0.005,"",IF(Start!$D$10="Avalanche",INDEX(Calc!MU$75:MU$89,Calc!$F$20),INDEX(Calc!MU$50:MU$64,Calc!$D$20))))</f>
        <v/>
      </c>
    </row>
    <row r="126">
      <c r="B126" s="17" t="n">
        <v>120</v>
      </c>
      <c r="C126" s="19">
        <f>IF(Calc!$B$4=0,"",EDATE(Start!$D$11,119))</f>
        <v/>
      </c>
      <c r="D126" s="20">
        <f>IF(OR(Calc!$B$4=0,$B126&gt;IF(Start!$D$10="Avalanche",Calc!$B$3,Calc!$B$2)),"",SUM(G126,I126,K126,M126,O126,Q126,S126,U126,W126,Y126,AA126,AC126,AE126,AG126,AI126))</f>
        <v/>
      </c>
      <c r="E126" s="20">
        <f>IF(OR(Calc!$B$4=0,$B126&gt;IF(Start!$D$10="Avalanche",Calc!$B$3,Calc!$B$2)),"",IF(Start!$D$10="Avalanche",Calc!MV$72,Calc!MV$47))</f>
        <v/>
      </c>
      <c r="F126" s="21">
        <f>IF(Calc!$B$4=0,"",IF($B126&gt;IF(Start!$D$10="Avalanche",Calc!$B$3,Calc!$B$2),NA(),SUM(H126,J126,L126,N126,P126,R126,T126,V126,X126,Z126,AB126,AD126,AF126,AH126,AJ126)))</f>
        <v/>
      </c>
      <c r="G126" s="20">
        <f>IF(H126="","",N(H125)*(1+Start!$E$14/12)-H126)</f>
        <v/>
      </c>
      <c r="H126" s="20">
        <f>IF(OR(OR(Calc!$B$4=0,$B126&gt;IF(Start!$D$10="Avalanche",Calc!$B$3,Calc!$B$2)),Calc!$B$6=0),"",IF(N(H125)&lt;=0.005,"",IF(Start!$D$10="Avalanche",INDEX(Calc!MX$75:MX$89,Calc!$F$6),INDEX(Calc!MX$50:MX$64,Calc!$D$6))))</f>
        <v/>
      </c>
      <c r="I126" s="20">
        <f>IF(J126="","",N(J125)*(1+Start!$E$15/12)-J126)</f>
        <v/>
      </c>
      <c r="J126" s="20">
        <f>IF(OR(OR(Calc!$B$4=0,$B126&gt;IF(Start!$D$10="Avalanche",Calc!$B$3,Calc!$B$2)),Calc!$B$7=0),"",IF(N(J125)&lt;=0.005,"",IF(Start!$D$10="Avalanche",INDEX(Calc!MX$75:MX$89,Calc!$F$7),INDEX(Calc!MX$50:MX$64,Calc!$D$7))))</f>
        <v/>
      </c>
      <c r="K126" s="20">
        <f>IF(L126="","",N(L125)*(1+Start!$E$16/12)-L126)</f>
        <v/>
      </c>
      <c r="L126" s="20">
        <f>IF(OR(OR(Calc!$B$4=0,$B126&gt;IF(Start!$D$10="Avalanche",Calc!$B$3,Calc!$B$2)),Calc!$B$8=0),"",IF(N(L125)&lt;=0.005,"",IF(Start!$D$10="Avalanche",INDEX(Calc!MX$75:MX$89,Calc!$F$8),INDEX(Calc!MX$50:MX$64,Calc!$D$8))))</f>
        <v/>
      </c>
      <c r="M126" s="20">
        <f>IF(N126="","",N(N125)*(1+Start!$E$17/12)-N126)</f>
        <v/>
      </c>
      <c r="N126" s="20">
        <f>IF(OR(OR(Calc!$B$4=0,$B126&gt;IF(Start!$D$10="Avalanche",Calc!$B$3,Calc!$B$2)),Calc!$B$9=0),"",IF(N(N125)&lt;=0.005,"",IF(Start!$D$10="Avalanche",INDEX(Calc!MX$75:MX$89,Calc!$F$9),INDEX(Calc!MX$50:MX$64,Calc!$D$9))))</f>
        <v/>
      </c>
      <c r="O126" s="20">
        <f>IF(P126="","",N(P125)*(1+Start!$E$18/12)-P126)</f>
        <v/>
      </c>
      <c r="P126" s="20">
        <f>IF(OR(OR(Calc!$B$4=0,$B126&gt;IF(Start!$D$10="Avalanche",Calc!$B$3,Calc!$B$2)),Calc!$B$10=0),"",IF(N(P125)&lt;=0.005,"",IF(Start!$D$10="Avalanche",INDEX(Calc!MX$75:MX$89,Calc!$F$10),INDEX(Calc!MX$50:MX$64,Calc!$D$10))))</f>
        <v/>
      </c>
      <c r="Q126" s="20">
        <f>IF(R126="","",N(R125)*(1+Start!$E$19/12)-R126)</f>
        <v/>
      </c>
      <c r="R126" s="20">
        <f>IF(OR(OR(Calc!$B$4=0,$B126&gt;IF(Start!$D$10="Avalanche",Calc!$B$3,Calc!$B$2)),Calc!$B$11=0),"",IF(N(R125)&lt;=0.005,"",IF(Start!$D$10="Avalanche",INDEX(Calc!MX$75:MX$89,Calc!$F$11),INDEX(Calc!MX$50:MX$64,Calc!$D$11))))</f>
        <v/>
      </c>
      <c r="S126" s="20">
        <f>IF(T126="","",N(T125)*(1+Start!$E$20/12)-T126)</f>
        <v/>
      </c>
      <c r="T126" s="20">
        <f>IF(OR(OR(Calc!$B$4=0,$B126&gt;IF(Start!$D$10="Avalanche",Calc!$B$3,Calc!$B$2)),Calc!$B$12=0),"",IF(N(T125)&lt;=0.005,"",IF(Start!$D$10="Avalanche",INDEX(Calc!MX$75:MX$89,Calc!$F$12),INDEX(Calc!MX$50:MX$64,Calc!$D$12))))</f>
        <v/>
      </c>
      <c r="U126" s="20">
        <f>IF(V126="","",N(V125)*(1+Start!$E$21/12)-V126)</f>
        <v/>
      </c>
      <c r="V126" s="20">
        <f>IF(OR(OR(Calc!$B$4=0,$B126&gt;IF(Start!$D$10="Avalanche",Calc!$B$3,Calc!$B$2)),Calc!$B$13=0),"",IF(N(V125)&lt;=0.005,"",IF(Start!$D$10="Avalanche",INDEX(Calc!MX$75:MX$89,Calc!$F$13),INDEX(Calc!MX$50:MX$64,Calc!$D$13))))</f>
        <v/>
      </c>
      <c r="W126" s="20">
        <f>IF(X126="","",N(X125)*(1+Start!$E$22/12)-X126)</f>
        <v/>
      </c>
      <c r="X126" s="20">
        <f>IF(OR(OR(Calc!$B$4=0,$B126&gt;IF(Start!$D$10="Avalanche",Calc!$B$3,Calc!$B$2)),Calc!$B$14=0),"",IF(N(X125)&lt;=0.005,"",IF(Start!$D$10="Avalanche",INDEX(Calc!MX$75:MX$89,Calc!$F$14),INDEX(Calc!MX$50:MX$64,Calc!$D$14))))</f>
        <v/>
      </c>
      <c r="Y126" s="20">
        <f>IF(Z126="","",N(Z125)*(1+Start!$E$23/12)-Z126)</f>
        <v/>
      </c>
      <c r="Z126" s="20">
        <f>IF(OR(OR(Calc!$B$4=0,$B126&gt;IF(Start!$D$10="Avalanche",Calc!$B$3,Calc!$B$2)),Calc!$B$15=0),"",IF(N(Z125)&lt;=0.005,"",IF(Start!$D$10="Avalanche",INDEX(Calc!MX$75:MX$89,Calc!$F$15),INDEX(Calc!MX$50:MX$64,Calc!$D$15))))</f>
        <v/>
      </c>
      <c r="AA126" s="20">
        <f>IF(AB126="","",N(AB125)*(1+Start!$E$24/12)-AB126)</f>
        <v/>
      </c>
      <c r="AB126" s="20">
        <f>IF(OR(OR(Calc!$B$4=0,$B126&gt;IF(Start!$D$10="Avalanche",Calc!$B$3,Calc!$B$2)),Calc!$B$16=0),"",IF(N(AB125)&lt;=0.005,"",IF(Start!$D$10="Avalanche",INDEX(Calc!MX$75:MX$89,Calc!$F$16),INDEX(Calc!MX$50:MX$64,Calc!$D$16))))</f>
        <v/>
      </c>
      <c r="AC126" s="20">
        <f>IF(AD126="","",N(AD125)*(1+Start!$E$25/12)-AD126)</f>
        <v/>
      </c>
      <c r="AD126" s="20">
        <f>IF(OR(OR(Calc!$B$4=0,$B126&gt;IF(Start!$D$10="Avalanche",Calc!$B$3,Calc!$B$2)),Calc!$B$17=0),"",IF(N(AD125)&lt;=0.005,"",IF(Start!$D$10="Avalanche",INDEX(Calc!MX$75:MX$89,Calc!$F$17),INDEX(Calc!MX$50:MX$64,Calc!$D$17))))</f>
        <v/>
      </c>
      <c r="AE126" s="20">
        <f>IF(AF126="","",N(AF125)*(1+Start!$E$26/12)-AF126)</f>
        <v/>
      </c>
      <c r="AF126" s="20">
        <f>IF(OR(OR(Calc!$B$4=0,$B126&gt;IF(Start!$D$10="Avalanche",Calc!$B$3,Calc!$B$2)),Calc!$B$18=0),"",IF(N(AF125)&lt;=0.005,"",IF(Start!$D$10="Avalanche",INDEX(Calc!MX$75:MX$89,Calc!$F$18),INDEX(Calc!MX$50:MX$64,Calc!$D$18))))</f>
        <v/>
      </c>
      <c r="AG126" s="20">
        <f>IF(AH126="","",N(AH125)*(1+Start!$E$27/12)-AH126)</f>
        <v/>
      </c>
      <c r="AH126" s="20">
        <f>IF(OR(OR(Calc!$B$4=0,$B126&gt;IF(Start!$D$10="Avalanche",Calc!$B$3,Calc!$B$2)),Calc!$B$19=0),"",IF(N(AH125)&lt;=0.005,"",IF(Start!$D$10="Avalanche",INDEX(Calc!MX$75:MX$89,Calc!$F$19),INDEX(Calc!MX$50:MX$64,Calc!$D$19))))</f>
        <v/>
      </c>
      <c r="AI126" s="20">
        <f>IF(AJ126="","",N(AJ125)*(1+Start!$E$28/12)-AJ126)</f>
        <v/>
      </c>
      <c r="AJ126" s="20">
        <f>IF(OR(OR(Calc!$B$4=0,$B126&gt;IF(Start!$D$10="Avalanche",Calc!$B$3,Calc!$B$2)),Calc!$B$20=0),"",IF(N(AJ125)&lt;=0.005,"",IF(Start!$D$10="Avalanche",INDEX(Calc!MX$75:MX$89,Calc!$F$20),INDEX(Calc!MX$50:MX$64,Calc!$D$20))))</f>
        <v/>
      </c>
    </row>
  </sheetData>
  <mergeCells count="20">
    <mergeCell ref="E5:E6"/>
    <mergeCell ref="K5:L5"/>
    <mergeCell ref="M5:N5"/>
    <mergeCell ref="F5:F6"/>
    <mergeCell ref="W5:X5"/>
    <mergeCell ref="O5:P5"/>
    <mergeCell ref="Q5:R5"/>
    <mergeCell ref="Y5:Z5"/>
    <mergeCell ref="AA5:AB5"/>
    <mergeCell ref="AC5:AD5"/>
    <mergeCell ref="G5:H5"/>
    <mergeCell ref="I5:J5"/>
    <mergeCell ref="B5:B6"/>
    <mergeCell ref="D5:D6"/>
    <mergeCell ref="S5:T5"/>
    <mergeCell ref="U5:V5"/>
    <mergeCell ref="AE5:AF5"/>
    <mergeCell ref="AG5:AH5"/>
    <mergeCell ref="AI5:AJ5"/>
    <mergeCell ref="C5:C6"/>
  </mergeCells>
  <conditionalFormatting sqref="F7:F126">
    <cfRule type="expression" priority="1" dxfId="0" stopIfTrue="1">
      <formula>ISNA(F7)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8" customWidth="1" min="4" max="4"/>
    <col width="16" customWidth="1" min="5" max="5"/>
  </cols>
  <sheetData>
    <row r="2">
      <c r="B2" s="1" t="inlineStr">
        <is>
          <t>Snowball vs Avalanche</t>
        </is>
      </c>
    </row>
    <row r="3">
      <c r="B3" s="2" t="inlineStr">
        <is>
          <t>Snowball = smallest balance first (quick wins). Avalanche = highest APR first (least interest).</t>
        </is>
      </c>
    </row>
    <row r="5">
      <c r="B5" s="12" t="inlineStr"/>
      <c r="C5" s="12" t="inlineStr">
        <is>
          <t>Snowball</t>
        </is>
      </c>
      <c r="D5" s="12" t="inlineStr">
        <is>
          <t>Avalanche</t>
        </is>
      </c>
      <c r="E5" s="12" t="inlineStr">
        <is>
          <t>Difference</t>
        </is>
      </c>
    </row>
    <row r="6">
      <c r="B6" s="22" t="inlineStr">
        <is>
          <t>Debt-free by</t>
        </is>
      </c>
      <c r="C6" s="17">
        <f>IF(Calc!$B$4=0,"-",IF(Calc!$B$2&gt;120,"120+ months",TEXT(EDATE(Start!$D$11,Calc!$B$2-1),"mmm yyyy")))</f>
        <v/>
      </c>
      <c r="D6" s="17">
        <f>IF(Calc!$B$4=0,"-",IF(Calc!$B$3&gt;120,"120+ months",TEXT(EDATE(Start!$D$11,Calc!$B$3-1),"mmm yyyy")))</f>
        <v/>
      </c>
      <c r="E6" s="17" t="n"/>
    </row>
    <row r="7">
      <c r="B7" s="22" t="inlineStr">
        <is>
          <t>Months to go</t>
        </is>
      </c>
      <c r="C7" s="17">
        <f>IF(Calc!$B$4=0,"-",IF(Calc!$B$2&gt;120,"120+",Calc!$B$2))</f>
        <v/>
      </c>
      <c r="D7" s="17">
        <f>IF(Calc!$B$4=0,"-",IF(Calc!$B$3&gt;120,"120+",Calc!$B$3))</f>
        <v/>
      </c>
      <c r="E7" s="17">
        <f>IFERROR(C7-D7,"-")</f>
        <v/>
      </c>
    </row>
    <row r="8">
      <c r="B8" s="22" t="inlineStr">
        <is>
          <t>Total interest</t>
        </is>
      </c>
      <c r="C8" s="23">
        <f>IF(Calc!$B$4=0,"-",IF(Calc!$B$2&gt;120,"-",Calc!$C$2))</f>
        <v/>
      </c>
      <c r="D8" s="23">
        <f>IF(Calc!$B$4=0,"-",IF(Calc!$B$3&gt;120,"-",Calc!$C$3))</f>
        <v/>
      </c>
      <c r="E8" s="23">
        <f>IFERROR(C8-D8,"-")</f>
        <v/>
      </c>
    </row>
    <row r="9">
      <c r="B9" s="22" t="inlineStr">
        <is>
          <t>You save with Avalanche</t>
        </is>
      </c>
      <c r="C9" s="17">
        <f>IF(Calc!$B$4=0,"-","$"&amp;TEXT(MAX(0,Calc!$C$2-Calc!$C$3),"#,##0")&amp;" in interest")</f>
        <v/>
      </c>
      <c r="D9" s="17" t="n"/>
      <c r="E9" s="17" t="n"/>
    </row>
    <row r="12">
      <c r="B12" s="12" t="inlineStr">
        <is>
          <t>Debt</t>
        </is>
      </c>
      <c r="C12" s="12" t="inlineStr">
        <is>
          <t>Snowball order</t>
        </is>
      </c>
      <c r="D12" s="12" t="inlineStr">
        <is>
          <t>Avalanche order</t>
        </is>
      </c>
    </row>
    <row r="13">
      <c r="B13" s="17">
        <f>IF(Start!C14="","",Start!C14)</f>
        <v/>
      </c>
      <c r="C13" s="16">
        <f>Calc!D6</f>
        <v/>
      </c>
      <c r="D13" s="16">
        <f>Calc!F6</f>
        <v/>
      </c>
    </row>
    <row r="14">
      <c r="B14" s="17">
        <f>IF(Start!C15="","",Start!C15)</f>
        <v/>
      </c>
      <c r="C14" s="16">
        <f>Calc!D7</f>
        <v/>
      </c>
      <c r="D14" s="16">
        <f>Calc!F7</f>
        <v/>
      </c>
    </row>
    <row r="15">
      <c r="B15" s="17">
        <f>IF(Start!C16="","",Start!C16)</f>
        <v/>
      </c>
      <c r="C15" s="16">
        <f>Calc!D8</f>
        <v/>
      </c>
      <c r="D15" s="16">
        <f>Calc!F8</f>
        <v/>
      </c>
    </row>
    <row r="16">
      <c r="B16" s="17">
        <f>IF(Start!C17="","",Start!C17)</f>
        <v/>
      </c>
      <c r="C16" s="16">
        <f>Calc!D9</f>
        <v/>
      </c>
      <c r="D16" s="16">
        <f>Calc!F9</f>
        <v/>
      </c>
    </row>
    <row r="17">
      <c r="B17" s="17">
        <f>IF(Start!C18="","",Start!C18)</f>
        <v/>
      </c>
      <c r="C17" s="16">
        <f>Calc!D10</f>
        <v/>
      </c>
      <c r="D17" s="16">
        <f>Calc!F10</f>
        <v/>
      </c>
    </row>
    <row r="18">
      <c r="B18" s="17">
        <f>IF(Start!C19="","",Start!C19)</f>
        <v/>
      </c>
      <c r="C18" s="16">
        <f>Calc!D11</f>
        <v/>
      </c>
      <c r="D18" s="16">
        <f>Calc!F11</f>
        <v/>
      </c>
    </row>
    <row r="19">
      <c r="B19" s="17">
        <f>IF(Start!C20="","",Start!C20)</f>
        <v/>
      </c>
      <c r="C19" s="16">
        <f>Calc!D12</f>
        <v/>
      </c>
      <c r="D19" s="16">
        <f>Calc!F12</f>
        <v/>
      </c>
    </row>
    <row r="20">
      <c r="B20" s="17">
        <f>IF(Start!C21="","",Start!C21)</f>
        <v/>
      </c>
      <c r="C20" s="16">
        <f>Calc!D13</f>
        <v/>
      </c>
      <c r="D20" s="16">
        <f>Calc!F13</f>
        <v/>
      </c>
    </row>
    <row r="21">
      <c r="B21" s="17">
        <f>IF(Start!C22="","",Start!C22)</f>
        <v/>
      </c>
      <c r="C21" s="16">
        <f>Calc!D14</f>
        <v/>
      </c>
      <c r="D21" s="16">
        <f>Calc!F14</f>
        <v/>
      </c>
    </row>
    <row r="22">
      <c r="B22" s="17">
        <f>IF(Start!C23="","",Start!C23)</f>
        <v/>
      </c>
      <c r="C22" s="16">
        <f>Calc!D15</f>
        <v/>
      </c>
      <c r="D22" s="16">
        <f>Calc!F15</f>
        <v/>
      </c>
    </row>
    <row r="23">
      <c r="B23" s="17">
        <f>IF(Start!C24="","",Start!C24)</f>
        <v/>
      </c>
      <c r="C23" s="16">
        <f>Calc!D16</f>
        <v/>
      </c>
      <c r="D23" s="16">
        <f>Calc!F16</f>
        <v/>
      </c>
    </row>
    <row r="24">
      <c r="B24" s="17">
        <f>IF(Start!C25="","",Start!C25)</f>
        <v/>
      </c>
      <c r="C24" s="16">
        <f>Calc!D17</f>
        <v/>
      </c>
      <c r="D24" s="16">
        <f>Calc!F17</f>
        <v/>
      </c>
    </row>
    <row r="25">
      <c r="B25" s="17">
        <f>IF(Start!C26="","",Start!C26)</f>
        <v/>
      </c>
      <c r="C25" s="16">
        <f>Calc!D18</f>
        <v/>
      </c>
      <c r="D25" s="16">
        <f>Calc!F18</f>
        <v/>
      </c>
    </row>
    <row r="26">
      <c r="B26" s="17">
        <f>IF(Start!C27="","",Start!C27)</f>
        <v/>
      </c>
      <c r="C26" s="16">
        <f>Calc!D19</f>
        <v/>
      </c>
      <c r="D26" s="16">
        <f>Calc!F19</f>
        <v/>
      </c>
    </row>
    <row r="27">
      <c r="B27" s="17">
        <f>IF(Start!C28="","",Start!C28)</f>
        <v/>
      </c>
      <c r="C27" s="16">
        <f>Calc!D20</f>
        <v/>
      </c>
      <c r="D27" s="16">
        <f>Calc!F20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2">
      <c r="B2" s="1" t="inlineStr">
        <is>
          <t>Track your progress</t>
        </is>
      </c>
    </row>
    <row r="4" ht="36" customHeight="1">
      <c r="B4" s="24" t="inlineStr">
        <is>
          <t>This free file gives you a plan. The paid Progress tab tells you every month if you're ahead or behind it — type one balance, see 'Debt-free by Sep 2029 (4 months ahead)'.</t>
        </is>
      </c>
    </row>
    <row r="5" ht="18" customHeight="1">
      <c r="B5" s="25" t="inlineStr">
        <is>
          <t>Copy your 4 columns (Name, Balance, APR, Minimum) into the paid Start tab and Progress works immediately — same cells (C14:F28).</t>
        </is>
      </c>
    </row>
    <row r="7">
      <c r="B7" s="26" t="inlineStr">
        <is>
          <t>Get the Debt Payoff Planner (with the Progress tab)  &gt;</t>
        </is>
      </c>
    </row>
    <row r="9">
      <c r="B9" s="18" t="inlineStr">
        <is>
          <t>The paid Progress tab with 9 sample months logged (every number calculated by the sheet):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Quick Start (60 seconds)</t>
        </is>
      </c>
    </row>
    <row r="3">
      <c r="B3" s="7" t="inlineStr"/>
    </row>
    <row r="4">
      <c r="B4" s="7" t="inlineStr">
        <is>
          <t>1. Open the Start tab.</t>
        </is>
      </c>
    </row>
    <row r="5">
      <c r="B5" s="7" t="inlineStr">
        <is>
          <t>2. Type each debt in the light-yellow cells: name, balance, APR (type 19.99 for 19.99%), minimum payment.</t>
        </is>
      </c>
    </row>
    <row r="6">
      <c r="B6" s="7" t="inlineStr">
        <is>
          <t>3. Type your monthly budget for all debts combined.</t>
        </is>
      </c>
    </row>
    <row r="7">
      <c r="B7" s="7" t="inlineStr">
        <is>
          <t>4. Choose Snowball (smallest balance first) or Avalanche (highest APR first).</t>
        </is>
      </c>
    </row>
    <row r="8">
      <c r="B8" s="7" t="inlineStr">
        <is>
          <t>5. Read your debt-free month at the top. The chart below the debts shows your total balance going down.</t>
        </is>
      </c>
    </row>
    <row r="9">
      <c r="B9" s="7" t="inlineStr">
        <is>
          <t>6. Open the Schedule tab to see what to pay on each debt every month.</t>
        </is>
      </c>
    </row>
    <row r="10">
      <c r="B10" s="7" t="inlineStr"/>
    </row>
    <row r="11">
      <c r="B11" s="7" t="inlineStr">
        <is>
          <t>Compare tab: see how many months and how much interest each method costs.</t>
        </is>
      </c>
    </row>
    <row r="12">
      <c r="B12" s="2" t="inlineStr">
        <is>
          <t>Excel (.xlsx). No scripts, no sign-up. Up to 15 debts, 10-year horizon.</t>
        </is>
      </c>
    </row>
    <row r="13">
      <c r="B13" s="2" t="inlineStr">
        <is>
          <t>This free version makes the plan. Logging your real balance against it each month is in the paid version (see 'Track your progress').</t>
        </is>
      </c>
    </row>
    <row r="14">
      <c r="B14" s="18" t="inlineStr">
        <is>
          <t>Designed with AI assistance; all formulas tested in Excel.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X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(raw numbers; Start/Compare read from here)</t>
        </is>
      </c>
    </row>
    <row r="2">
      <c r="A2" t="inlineStr">
        <is>
          <t>Snowball: months / interest</t>
        </is>
      </c>
      <c r="B2">
        <f>COUNTIF($C$48:$MX$48,"&gt;0.005")+1</f>
        <v/>
      </c>
      <c r="C2">
        <f>SUM($C$47:$MX$47)</f>
        <v/>
      </c>
    </row>
    <row r="3">
      <c r="A3" t="inlineStr">
        <is>
          <t>Avalanche: months / interest</t>
        </is>
      </c>
      <c r="B3">
        <f>COUNTIF($C$73:$MX$73,"&gt;0.005")+1</f>
        <v/>
      </c>
      <c r="C3">
        <f>SUM($C$72:$MX$72)</f>
        <v/>
      </c>
    </row>
    <row r="4">
      <c r="A4" t="inlineStr">
        <is>
          <t>Active debts / sum of minimums / raise budget by</t>
        </is>
      </c>
      <c r="B4">
        <f>SUM(B6:B20)</f>
        <v/>
      </c>
      <c r="C4">
        <f>SUMPRODUCT(B6:B20,Start!F14:F28)</f>
        <v/>
      </c>
      <c r="D4">
        <f>ROUNDUP(MAX(0,H4-Start!D9,C4-Start!D9),0)</f>
        <v/>
      </c>
      <c r="E4" t="inlineStr">
        <is>
          <t>T / r / P (pooled-loan estimate for 120 months)</t>
        </is>
      </c>
      <c r="F4">
        <f>SUMPRODUCT(B6:B20,Start!D14:D28)</f>
        <v/>
      </c>
      <c r="G4">
        <f>IF(F4=0,0,SUMPRODUCT(B6:B20,Start!D14:D28,Start!E14:E28)/F4/12)</f>
        <v/>
      </c>
      <c r="H4">
        <f>IF(F4=0,0,IF(G4=0,F4/120,F4*G4/(1-(1+G4)^(-120))))</f>
        <v/>
      </c>
    </row>
    <row r="5">
      <c r="A5" t="inlineStr">
        <is>
          <t>#</t>
        </is>
      </c>
      <c r="B5" t="inlineStr">
        <is>
          <t>active</t>
        </is>
      </c>
      <c r="C5" t="inlineStr">
        <is>
          <t>snow key</t>
        </is>
      </c>
      <c r="D5" t="inlineStr">
        <is>
          <t>snow rank</t>
        </is>
      </c>
      <c r="E5" t="inlineStr">
        <is>
          <t>aval key</t>
        </is>
      </c>
      <c r="F5" t="inlineStr">
        <is>
          <t>aval rank</t>
        </is>
      </c>
      <c r="G5" t="inlineStr">
        <is>
          <t>snow payoff m</t>
        </is>
      </c>
      <c r="H5" t="inlineStr">
        <is>
          <t>aval payoff m</t>
        </is>
      </c>
    </row>
    <row r="6">
      <c r="A6" t="n">
        <v>1</v>
      </c>
      <c r="B6">
        <f>IF(AND(ISNUMBER(Start!D14),Start!D14&gt;0),1,0)</f>
        <v/>
      </c>
      <c r="C6">
        <f>IF(B6=1,Start!D14+1/1000000,"")</f>
        <v/>
      </c>
      <c r="D6">
        <f>IFERROR(RANK(C6,$C$6:$C$20,1),"")</f>
        <v/>
      </c>
      <c r="E6">
        <f>IF(B6=1,Start!E14+15/1000000,"")</f>
        <v/>
      </c>
      <c r="F6">
        <f>IFERROR(RANK(E6,$E$6:$E$20,0),"")</f>
        <v/>
      </c>
      <c r="G6">
        <f>IF(D6="","",INDEX($G$24:$G$38,D6))</f>
        <v/>
      </c>
      <c r="H6">
        <f>IF(F6="","",INDEX($M$24:$M$38,F6))</f>
        <v/>
      </c>
    </row>
    <row r="7">
      <c r="A7" t="n">
        <v>2</v>
      </c>
      <c r="B7">
        <f>IF(AND(ISNUMBER(Start!D15),Start!D15&gt;0),1,0)</f>
        <v/>
      </c>
      <c r="C7">
        <f>IF(B7=1,Start!D15+2/1000000,"")</f>
        <v/>
      </c>
      <c r="D7">
        <f>IFERROR(RANK(C7,$C$6:$C$20,1),"")</f>
        <v/>
      </c>
      <c r="E7">
        <f>IF(B7=1,Start!E15+14/1000000,"")</f>
        <v/>
      </c>
      <c r="F7">
        <f>IFERROR(RANK(E7,$E$6:$E$20,0),"")</f>
        <v/>
      </c>
      <c r="G7">
        <f>IF(D7="","",INDEX($G$24:$G$38,D7))</f>
        <v/>
      </c>
      <c r="H7">
        <f>IF(F7="","",INDEX($M$24:$M$38,F7))</f>
        <v/>
      </c>
    </row>
    <row r="8">
      <c r="A8" t="n">
        <v>3</v>
      </c>
      <c r="B8">
        <f>IF(AND(ISNUMBER(Start!D16),Start!D16&gt;0),1,0)</f>
        <v/>
      </c>
      <c r="C8">
        <f>IF(B8=1,Start!D16+3/1000000,"")</f>
        <v/>
      </c>
      <c r="D8">
        <f>IFERROR(RANK(C8,$C$6:$C$20,1),"")</f>
        <v/>
      </c>
      <c r="E8">
        <f>IF(B8=1,Start!E16+13/1000000,"")</f>
        <v/>
      </c>
      <c r="F8">
        <f>IFERROR(RANK(E8,$E$6:$E$20,0),"")</f>
        <v/>
      </c>
      <c r="G8">
        <f>IF(D8="","",INDEX($G$24:$G$38,D8))</f>
        <v/>
      </c>
      <c r="H8">
        <f>IF(F8="","",INDEX($M$24:$M$38,F8))</f>
        <v/>
      </c>
    </row>
    <row r="9">
      <c r="A9" t="n">
        <v>4</v>
      </c>
      <c r="B9">
        <f>IF(AND(ISNUMBER(Start!D17),Start!D17&gt;0),1,0)</f>
        <v/>
      </c>
      <c r="C9">
        <f>IF(B9=1,Start!D17+4/1000000,"")</f>
        <v/>
      </c>
      <c r="D9">
        <f>IFERROR(RANK(C9,$C$6:$C$20,1),"")</f>
        <v/>
      </c>
      <c r="E9">
        <f>IF(B9=1,Start!E17+12/1000000,"")</f>
        <v/>
      </c>
      <c r="F9">
        <f>IFERROR(RANK(E9,$E$6:$E$20,0),"")</f>
        <v/>
      </c>
      <c r="G9">
        <f>IF(D9="","",INDEX($G$24:$G$38,D9))</f>
        <v/>
      </c>
      <c r="H9">
        <f>IF(F9="","",INDEX($M$24:$M$38,F9))</f>
        <v/>
      </c>
    </row>
    <row r="10">
      <c r="A10" t="n">
        <v>5</v>
      </c>
      <c r="B10">
        <f>IF(AND(ISNUMBER(Start!D18),Start!D18&gt;0),1,0)</f>
        <v/>
      </c>
      <c r="C10">
        <f>IF(B10=1,Start!D18+5/1000000,"")</f>
        <v/>
      </c>
      <c r="D10">
        <f>IFERROR(RANK(C10,$C$6:$C$20,1),"")</f>
        <v/>
      </c>
      <c r="E10">
        <f>IF(B10=1,Start!E18+11/1000000,"")</f>
        <v/>
      </c>
      <c r="F10">
        <f>IFERROR(RANK(E10,$E$6:$E$20,0),"")</f>
        <v/>
      </c>
      <c r="G10">
        <f>IF(D10="","",INDEX($G$24:$G$38,D10))</f>
        <v/>
      </c>
      <c r="H10">
        <f>IF(F10="","",INDEX($M$24:$M$38,F10))</f>
        <v/>
      </c>
    </row>
    <row r="11">
      <c r="A11" t="n">
        <v>6</v>
      </c>
      <c r="B11">
        <f>IF(AND(ISNUMBER(Start!D19),Start!D19&gt;0),1,0)</f>
        <v/>
      </c>
      <c r="C11">
        <f>IF(B11=1,Start!D19+6/1000000,"")</f>
        <v/>
      </c>
      <c r="D11">
        <f>IFERROR(RANK(C11,$C$6:$C$20,1),"")</f>
        <v/>
      </c>
      <c r="E11">
        <f>IF(B11=1,Start!E19+10/1000000,"")</f>
        <v/>
      </c>
      <c r="F11">
        <f>IFERROR(RANK(E11,$E$6:$E$20,0),"")</f>
        <v/>
      </c>
      <c r="G11">
        <f>IF(D11="","",INDEX($G$24:$G$38,D11))</f>
        <v/>
      </c>
      <c r="H11">
        <f>IF(F11="","",INDEX($M$24:$M$38,F11))</f>
        <v/>
      </c>
    </row>
    <row r="12">
      <c r="A12" t="n">
        <v>7</v>
      </c>
      <c r="B12">
        <f>IF(AND(ISNUMBER(Start!D20),Start!D20&gt;0),1,0)</f>
        <v/>
      </c>
      <c r="C12">
        <f>IF(B12=1,Start!D20+7/1000000,"")</f>
        <v/>
      </c>
      <c r="D12">
        <f>IFERROR(RANK(C12,$C$6:$C$20,1),"")</f>
        <v/>
      </c>
      <c r="E12">
        <f>IF(B12=1,Start!E20+9/1000000,"")</f>
        <v/>
      </c>
      <c r="F12">
        <f>IFERROR(RANK(E12,$E$6:$E$20,0),"")</f>
        <v/>
      </c>
      <c r="G12">
        <f>IF(D12="","",INDEX($G$24:$G$38,D12))</f>
        <v/>
      </c>
      <c r="H12">
        <f>IF(F12="","",INDEX($M$24:$M$38,F12))</f>
        <v/>
      </c>
    </row>
    <row r="13">
      <c r="A13" t="n">
        <v>8</v>
      </c>
      <c r="B13">
        <f>IF(AND(ISNUMBER(Start!D21),Start!D21&gt;0),1,0)</f>
        <v/>
      </c>
      <c r="C13">
        <f>IF(B13=1,Start!D21+8/1000000,"")</f>
        <v/>
      </c>
      <c r="D13">
        <f>IFERROR(RANK(C13,$C$6:$C$20,1),"")</f>
        <v/>
      </c>
      <c r="E13">
        <f>IF(B13=1,Start!E21+8/1000000,"")</f>
        <v/>
      </c>
      <c r="F13">
        <f>IFERROR(RANK(E13,$E$6:$E$20,0),"")</f>
        <v/>
      </c>
      <c r="G13">
        <f>IF(D13="","",INDEX($G$24:$G$38,D13))</f>
        <v/>
      </c>
      <c r="H13">
        <f>IF(F13="","",INDEX($M$24:$M$38,F13))</f>
        <v/>
      </c>
    </row>
    <row r="14">
      <c r="A14" t="n">
        <v>9</v>
      </c>
      <c r="B14">
        <f>IF(AND(ISNUMBER(Start!D22),Start!D22&gt;0),1,0)</f>
        <v/>
      </c>
      <c r="C14">
        <f>IF(B14=1,Start!D22+9/1000000,"")</f>
        <v/>
      </c>
      <c r="D14">
        <f>IFERROR(RANK(C14,$C$6:$C$20,1),"")</f>
        <v/>
      </c>
      <c r="E14">
        <f>IF(B14=1,Start!E22+7/1000000,"")</f>
        <v/>
      </c>
      <c r="F14">
        <f>IFERROR(RANK(E14,$E$6:$E$20,0),"")</f>
        <v/>
      </c>
      <c r="G14">
        <f>IF(D14="","",INDEX($G$24:$G$38,D14))</f>
        <v/>
      </c>
      <c r="H14">
        <f>IF(F14="","",INDEX($M$24:$M$38,F14))</f>
        <v/>
      </c>
    </row>
    <row r="15">
      <c r="A15" t="n">
        <v>10</v>
      </c>
      <c r="B15">
        <f>IF(AND(ISNUMBER(Start!D23),Start!D23&gt;0),1,0)</f>
        <v/>
      </c>
      <c r="C15">
        <f>IF(B15=1,Start!D23+10/1000000,"")</f>
        <v/>
      </c>
      <c r="D15">
        <f>IFERROR(RANK(C15,$C$6:$C$20,1),"")</f>
        <v/>
      </c>
      <c r="E15">
        <f>IF(B15=1,Start!E23+6/1000000,"")</f>
        <v/>
      </c>
      <c r="F15">
        <f>IFERROR(RANK(E15,$E$6:$E$20,0),"")</f>
        <v/>
      </c>
      <c r="G15">
        <f>IF(D15="","",INDEX($G$24:$G$38,D15))</f>
        <v/>
      </c>
      <c r="H15">
        <f>IF(F15="","",INDEX($M$24:$M$38,F15))</f>
        <v/>
      </c>
    </row>
    <row r="16">
      <c r="A16" t="n">
        <v>11</v>
      </c>
      <c r="B16">
        <f>IF(AND(ISNUMBER(Start!D24),Start!D24&gt;0),1,0)</f>
        <v/>
      </c>
      <c r="C16">
        <f>IF(B16=1,Start!D24+11/1000000,"")</f>
        <v/>
      </c>
      <c r="D16">
        <f>IFERROR(RANK(C16,$C$6:$C$20,1),"")</f>
        <v/>
      </c>
      <c r="E16">
        <f>IF(B16=1,Start!E24+5/1000000,"")</f>
        <v/>
      </c>
      <c r="F16">
        <f>IFERROR(RANK(E16,$E$6:$E$20,0),"")</f>
        <v/>
      </c>
      <c r="G16">
        <f>IF(D16="","",INDEX($G$24:$G$38,D16))</f>
        <v/>
      </c>
      <c r="H16">
        <f>IF(F16="","",INDEX($M$24:$M$38,F16))</f>
        <v/>
      </c>
    </row>
    <row r="17">
      <c r="A17" t="n">
        <v>12</v>
      </c>
      <c r="B17">
        <f>IF(AND(ISNUMBER(Start!D25),Start!D25&gt;0),1,0)</f>
        <v/>
      </c>
      <c r="C17">
        <f>IF(B17=1,Start!D25+12/1000000,"")</f>
        <v/>
      </c>
      <c r="D17">
        <f>IFERROR(RANK(C17,$C$6:$C$20,1),"")</f>
        <v/>
      </c>
      <c r="E17">
        <f>IF(B17=1,Start!E25+4/1000000,"")</f>
        <v/>
      </c>
      <c r="F17">
        <f>IFERROR(RANK(E17,$E$6:$E$20,0),"")</f>
        <v/>
      </c>
      <c r="G17">
        <f>IF(D17="","",INDEX($G$24:$G$38,D17))</f>
        <v/>
      </c>
      <c r="H17">
        <f>IF(F17="","",INDEX($M$24:$M$38,F17))</f>
        <v/>
      </c>
    </row>
    <row r="18">
      <c r="A18" t="n">
        <v>13</v>
      </c>
      <c r="B18">
        <f>IF(AND(ISNUMBER(Start!D26),Start!D26&gt;0),1,0)</f>
        <v/>
      </c>
      <c r="C18">
        <f>IF(B18=1,Start!D26+13/1000000,"")</f>
        <v/>
      </c>
      <c r="D18">
        <f>IFERROR(RANK(C18,$C$6:$C$20,1),"")</f>
        <v/>
      </c>
      <c r="E18">
        <f>IF(B18=1,Start!E26+3/1000000,"")</f>
        <v/>
      </c>
      <c r="F18">
        <f>IFERROR(RANK(E18,$E$6:$E$20,0),"")</f>
        <v/>
      </c>
      <c r="G18">
        <f>IF(D18="","",INDEX($G$24:$G$38,D18))</f>
        <v/>
      </c>
      <c r="H18">
        <f>IF(F18="","",INDEX($M$24:$M$38,F18))</f>
        <v/>
      </c>
    </row>
    <row r="19">
      <c r="A19" t="n">
        <v>14</v>
      </c>
      <c r="B19">
        <f>IF(AND(ISNUMBER(Start!D27),Start!D27&gt;0),1,0)</f>
        <v/>
      </c>
      <c r="C19">
        <f>IF(B19=1,Start!D27+14/1000000,"")</f>
        <v/>
      </c>
      <c r="D19">
        <f>IFERROR(RANK(C19,$C$6:$C$20,1),"")</f>
        <v/>
      </c>
      <c r="E19">
        <f>IF(B19=1,Start!E27+2/1000000,"")</f>
        <v/>
      </c>
      <c r="F19">
        <f>IFERROR(RANK(E19,$E$6:$E$20,0),"")</f>
        <v/>
      </c>
      <c r="G19">
        <f>IF(D19="","",INDEX($G$24:$G$38,D19))</f>
        <v/>
      </c>
      <c r="H19">
        <f>IF(F19="","",INDEX($M$24:$M$38,F19))</f>
        <v/>
      </c>
    </row>
    <row r="20">
      <c r="A20" t="n">
        <v>15</v>
      </c>
      <c r="B20">
        <f>IF(AND(ISNUMBER(Start!D28),Start!D28&gt;0),1,0)</f>
        <v/>
      </c>
      <c r="C20">
        <f>IF(B20=1,Start!D28+15/1000000,"")</f>
        <v/>
      </c>
      <c r="D20">
        <f>IFERROR(RANK(C20,$C$6:$C$20,1),"")</f>
        <v/>
      </c>
      <c r="E20">
        <f>IF(B20=1,Start!E28+1/1000000,"")</f>
        <v/>
      </c>
      <c r="F20">
        <f>IFERROR(RANK(E20,$E$6:$E$20,0),"")</f>
        <v/>
      </c>
      <c r="G20">
        <f>IF(D20="","",INDEX($G$24:$G$38,D20))</f>
        <v/>
      </c>
      <c r="H20">
        <f>IF(F20="","",INDEX($M$24:$M$38,F20))</f>
        <v/>
      </c>
    </row>
    <row r="23">
      <c r="A23" t="inlineStr">
        <is>
          <t>slot</t>
        </is>
      </c>
      <c r="B23" t="inlineStr">
        <is>
          <t>snow idx</t>
        </is>
      </c>
      <c r="C23" t="inlineStr">
        <is>
          <t>snow name</t>
        </is>
      </c>
      <c r="D23" t="inlineStr">
        <is>
          <t>snow balance</t>
        </is>
      </c>
      <c r="E23" t="inlineStr">
        <is>
          <t>snow mrate</t>
        </is>
      </c>
      <c r="F23" t="inlineStr">
        <is>
          <t>snow minpay</t>
        </is>
      </c>
      <c r="G23" t="inlineStr">
        <is>
          <t>snow slot payoff</t>
        </is>
      </c>
      <c r="H23" t="inlineStr">
        <is>
          <t>aval idx</t>
        </is>
      </c>
      <c r="I23" t="inlineStr">
        <is>
          <t>aval name</t>
        </is>
      </c>
      <c r="J23" t="inlineStr">
        <is>
          <t>aval balance</t>
        </is>
      </c>
      <c r="K23" t="inlineStr">
        <is>
          <t>aval mrate</t>
        </is>
      </c>
      <c r="L23" t="inlineStr">
        <is>
          <t>aval minpay</t>
        </is>
      </c>
      <c r="M23" t="inlineStr">
        <is>
          <t>aval slot payoff</t>
        </is>
      </c>
    </row>
    <row r="24">
      <c r="A24" t="n">
        <v>1</v>
      </c>
      <c r="B24">
        <f>IFERROR(MATCH(A24,$D$6:$D$20,0),0)</f>
        <v/>
      </c>
      <c r="C24">
        <f>IF(B24=0,"",INDEX(Start!$C$14:$C$28,B24))</f>
        <v/>
      </c>
      <c r="D24">
        <f>IF(B24=0,0,INDEX(Start!$D$14:$D$28,B24))</f>
        <v/>
      </c>
      <c r="E24">
        <f>IF(B24=0,0,INDEX(Start!$E$14:$E$28,B24)/12)</f>
        <v/>
      </c>
      <c r="F24">
        <f>IF(B24=0,0,INDEX(Start!$F$14:$F$28,B24))</f>
        <v/>
      </c>
      <c r="G24">
        <f>SUMPRODUCT(($C$44:$MX$44=1)*($C$50:$MX$50&gt;0.005))+1</f>
        <v/>
      </c>
      <c r="H24">
        <f>IFERROR(MATCH(A24,$F$6:$F$20,0),0)</f>
        <v/>
      </c>
      <c r="I24">
        <f>IF(H24=0,"",INDEX(Start!$C$14:$C$28,H24))</f>
        <v/>
      </c>
      <c r="J24">
        <f>IF(H24=0,0,INDEX(Start!$D$14:$D$28,H24))</f>
        <v/>
      </c>
      <c r="K24">
        <f>IF(H24=0,0,INDEX(Start!$E$14:$E$28,H24)/12)</f>
        <v/>
      </c>
      <c r="L24">
        <f>IF(H24=0,0,INDEX(Start!$F$14:$F$28,H24))</f>
        <v/>
      </c>
      <c r="M24">
        <f>SUMPRODUCT(($C$69:$MX$69=1)*($C$75:$MX$75&gt;0.005))+1</f>
        <v/>
      </c>
    </row>
    <row r="25">
      <c r="A25" t="n">
        <v>2</v>
      </c>
      <c r="B25">
        <f>IFERROR(MATCH(A25,$D$6:$D$20,0),0)</f>
        <v/>
      </c>
      <c r="C25">
        <f>IF(B25=0,"",INDEX(Start!$C$14:$C$28,B25))</f>
        <v/>
      </c>
      <c r="D25">
        <f>IF(B25=0,0,INDEX(Start!$D$14:$D$28,B25))</f>
        <v/>
      </c>
      <c r="E25">
        <f>IF(B25=0,0,INDEX(Start!$E$14:$E$28,B25)/12)</f>
        <v/>
      </c>
      <c r="F25">
        <f>IF(B25=0,0,INDEX(Start!$F$14:$F$28,B25))</f>
        <v/>
      </c>
      <c r="G25">
        <f>SUMPRODUCT(($C$44:$MX$44=1)*($C$51:$MX$51&gt;0.005))+1</f>
        <v/>
      </c>
      <c r="H25">
        <f>IFERROR(MATCH(A25,$F$6:$F$20,0),0)</f>
        <v/>
      </c>
      <c r="I25">
        <f>IF(H25=0,"",INDEX(Start!$C$14:$C$28,H25))</f>
        <v/>
      </c>
      <c r="J25">
        <f>IF(H25=0,0,INDEX(Start!$D$14:$D$28,H25))</f>
        <v/>
      </c>
      <c r="K25">
        <f>IF(H25=0,0,INDEX(Start!$E$14:$E$28,H25)/12)</f>
        <v/>
      </c>
      <c r="L25">
        <f>IF(H25=0,0,INDEX(Start!$F$14:$F$28,H25))</f>
        <v/>
      </c>
      <c r="M25">
        <f>SUMPRODUCT(($C$69:$MX$69=1)*($C$76:$MX$76&gt;0.005))+1</f>
        <v/>
      </c>
    </row>
    <row r="26">
      <c r="A26" t="n">
        <v>3</v>
      </c>
      <c r="B26">
        <f>IFERROR(MATCH(A26,$D$6:$D$20,0),0)</f>
        <v/>
      </c>
      <c r="C26">
        <f>IF(B26=0,"",INDEX(Start!$C$14:$C$28,B26))</f>
        <v/>
      </c>
      <c r="D26">
        <f>IF(B26=0,0,INDEX(Start!$D$14:$D$28,B26))</f>
        <v/>
      </c>
      <c r="E26">
        <f>IF(B26=0,0,INDEX(Start!$E$14:$E$28,B26)/12)</f>
        <v/>
      </c>
      <c r="F26">
        <f>IF(B26=0,0,INDEX(Start!$F$14:$F$28,B26))</f>
        <v/>
      </c>
      <c r="G26">
        <f>SUMPRODUCT(($C$44:$MX$44=1)*($C$52:$MX$52&gt;0.005))+1</f>
        <v/>
      </c>
      <c r="H26">
        <f>IFERROR(MATCH(A26,$F$6:$F$20,0),0)</f>
        <v/>
      </c>
      <c r="I26">
        <f>IF(H26=0,"",INDEX(Start!$C$14:$C$28,H26))</f>
        <v/>
      </c>
      <c r="J26">
        <f>IF(H26=0,0,INDEX(Start!$D$14:$D$28,H26))</f>
        <v/>
      </c>
      <c r="K26">
        <f>IF(H26=0,0,INDEX(Start!$E$14:$E$28,H26)/12)</f>
        <v/>
      </c>
      <c r="L26">
        <f>IF(H26=0,0,INDEX(Start!$F$14:$F$28,H26))</f>
        <v/>
      </c>
      <c r="M26">
        <f>SUMPRODUCT(($C$69:$MX$69=1)*($C$77:$MX$77&gt;0.005))+1</f>
        <v/>
      </c>
    </row>
    <row r="27">
      <c r="A27" t="n">
        <v>4</v>
      </c>
      <c r="B27">
        <f>IFERROR(MATCH(A27,$D$6:$D$20,0),0)</f>
        <v/>
      </c>
      <c r="C27">
        <f>IF(B27=0,"",INDEX(Start!$C$14:$C$28,B27))</f>
        <v/>
      </c>
      <c r="D27">
        <f>IF(B27=0,0,INDEX(Start!$D$14:$D$28,B27))</f>
        <v/>
      </c>
      <c r="E27">
        <f>IF(B27=0,0,INDEX(Start!$E$14:$E$28,B27)/12)</f>
        <v/>
      </c>
      <c r="F27">
        <f>IF(B27=0,0,INDEX(Start!$F$14:$F$28,B27))</f>
        <v/>
      </c>
      <c r="G27">
        <f>SUMPRODUCT(($C$44:$MX$44=1)*($C$53:$MX$53&gt;0.005))+1</f>
        <v/>
      </c>
      <c r="H27">
        <f>IFERROR(MATCH(A27,$F$6:$F$20,0),0)</f>
        <v/>
      </c>
      <c r="I27">
        <f>IF(H27=0,"",INDEX(Start!$C$14:$C$28,H27))</f>
        <v/>
      </c>
      <c r="J27">
        <f>IF(H27=0,0,INDEX(Start!$D$14:$D$28,H27))</f>
        <v/>
      </c>
      <c r="K27">
        <f>IF(H27=0,0,INDEX(Start!$E$14:$E$28,H27)/12)</f>
        <v/>
      </c>
      <c r="L27">
        <f>IF(H27=0,0,INDEX(Start!$F$14:$F$28,H27))</f>
        <v/>
      </c>
      <c r="M27">
        <f>SUMPRODUCT(($C$69:$MX$69=1)*($C$78:$MX$78&gt;0.005))+1</f>
        <v/>
      </c>
    </row>
    <row r="28">
      <c r="A28" t="n">
        <v>5</v>
      </c>
      <c r="B28">
        <f>IFERROR(MATCH(A28,$D$6:$D$20,0),0)</f>
        <v/>
      </c>
      <c r="C28">
        <f>IF(B28=0,"",INDEX(Start!$C$14:$C$28,B28))</f>
        <v/>
      </c>
      <c r="D28">
        <f>IF(B28=0,0,INDEX(Start!$D$14:$D$28,B28))</f>
        <v/>
      </c>
      <c r="E28">
        <f>IF(B28=0,0,INDEX(Start!$E$14:$E$28,B28)/12)</f>
        <v/>
      </c>
      <c r="F28">
        <f>IF(B28=0,0,INDEX(Start!$F$14:$F$28,B28))</f>
        <v/>
      </c>
      <c r="G28">
        <f>SUMPRODUCT(($C$44:$MX$44=1)*($C$54:$MX$54&gt;0.005))+1</f>
        <v/>
      </c>
      <c r="H28">
        <f>IFERROR(MATCH(A28,$F$6:$F$20,0),0)</f>
        <v/>
      </c>
      <c r="I28">
        <f>IF(H28=0,"",INDEX(Start!$C$14:$C$28,H28))</f>
        <v/>
      </c>
      <c r="J28">
        <f>IF(H28=0,0,INDEX(Start!$D$14:$D$28,H28))</f>
        <v/>
      </c>
      <c r="K28">
        <f>IF(H28=0,0,INDEX(Start!$E$14:$E$28,H28)/12)</f>
        <v/>
      </c>
      <c r="L28">
        <f>IF(H28=0,0,INDEX(Start!$F$14:$F$28,H28))</f>
        <v/>
      </c>
      <c r="M28">
        <f>SUMPRODUCT(($C$69:$MX$69=1)*($C$79:$MX$79&gt;0.005))+1</f>
        <v/>
      </c>
    </row>
    <row r="29">
      <c r="A29" t="n">
        <v>6</v>
      </c>
      <c r="B29">
        <f>IFERROR(MATCH(A29,$D$6:$D$20,0),0)</f>
        <v/>
      </c>
      <c r="C29">
        <f>IF(B29=0,"",INDEX(Start!$C$14:$C$28,B29))</f>
        <v/>
      </c>
      <c r="D29">
        <f>IF(B29=0,0,INDEX(Start!$D$14:$D$28,B29))</f>
        <v/>
      </c>
      <c r="E29">
        <f>IF(B29=0,0,INDEX(Start!$E$14:$E$28,B29)/12)</f>
        <v/>
      </c>
      <c r="F29">
        <f>IF(B29=0,0,INDEX(Start!$F$14:$F$28,B29))</f>
        <v/>
      </c>
      <c r="G29">
        <f>SUMPRODUCT(($C$44:$MX$44=1)*($C$55:$MX$55&gt;0.005))+1</f>
        <v/>
      </c>
      <c r="H29">
        <f>IFERROR(MATCH(A29,$F$6:$F$20,0),0)</f>
        <v/>
      </c>
      <c r="I29">
        <f>IF(H29=0,"",INDEX(Start!$C$14:$C$28,H29))</f>
        <v/>
      </c>
      <c r="J29">
        <f>IF(H29=0,0,INDEX(Start!$D$14:$D$28,H29))</f>
        <v/>
      </c>
      <c r="K29">
        <f>IF(H29=0,0,INDEX(Start!$E$14:$E$28,H29)/12)</f>
        <v/>
      </c>
      <c r="L29">
        <f>IF(H29=0,0,INDEX(Start!$F$14:$F$28,H29))</f>
        <v/>
      </c>
      <c r="M29">
        <f>SUMPRODUCT(($C$69:$MX$69=1)*($C$80:$MX$80&gt;0.005))+1</f>
        <v/>
      </c>
    </row>
    <row r="30">
      <c r="A30" t="n">
        <v>7</v>
      </c>
      <c r="B30">
        <f>IFERROR(MATCH(A30,$D$6:$D$20,0),0)</f>
        <v/>
      </c>
      <c r="C30">
        <f>IF(B30=0,"",INDEX(Start!$C$14:$C$28,B30))</f>
        <v/>
      </c>
      <c r="D30">
        <f>IF(B30=0,0,INDEX(Start!$D$14:$D$28,B30))</f>
        <v/>
      </c>
      <c r="E30">
        <f>IF(B30=0,0,INDEX(Start!$E$14:$E$28,B30)/12)</f>
        <v/>
      </c>
      <c r="F30">
        <f>IF(B30=0,0,INDEX(Start!$F$14:$F$28,B30))</f>
        <v/>
      </c>
      <c r="G30">
        <f>SUMPRODUCT(($C$44:$MX$44=1)*($C$56:$MX$56&gt;0.005))+1</f>
        <v/>
      </c>
      <c r="H30">
        <f>IFERROR(MATCH(A30,$F$6:$F$20,0),0)</f>
        <v/>
      </c>
      <c r="I30">
        <f>IF(H30=0,"",INDEX(Start!$C$14:$C$28,H30))</f>
        <v/>
      </c>
      <c r="J30">
        <f>IF(H30=0,0,INDEX(Start!$D$14:$D$28,H30))</f>
        <v/>
      </c>
      <c r="K30">
        <f>IF(H30=0,0,INDEX(Start!$E$14:$E$28,H30)/12)</f>
        <v/>
      </c>
      <c r="L30">
        <f>IF(H30=0,0,INDEX(Start!$F$14:$F$28,H30))</f>
        <v/>
      </c>
      <c r="M30">
        <f>SUMPRODUCT(($C$69:$MX$69=1)*($C$81:$MX$81&gt;0.005))+1</f>
        <v/>
      </c>
    </row>
    <row r="31">
      <c r="A31" t="n">
        <v>8</v>
      </c>
      <c r="B31">
        <f>IFERROR(MATCH(A31,$D$6:$D$20,0),0)</f>
        <v/>
      </c>
      <c r="C31">
        <f>IF(B31=0,"",INDEX(Start!$C$14:$C$28,B31))</f>
        <v/>
      </c>
      <c r="D31">
        <f>IF(B31=0,0,INDEX(Start!$D$14:$D$28,B31))</f>
        <v/>
      </c>
      <c r="E31">
        <f>IF(B31=0,0,INDEX(Start!$E$14:$E$28,B31)/12)</f>
        <v/>
      </c>
      <c r="F31">
        <f>IF(B31=0,0,INDEX(Start!$F$14:$F$28,B31))</f>
        <v/>
      </c>
      <c r="G31">
        <f>SUMPRODUCT(($C$44:$MX$44=1)*($C$57:$MX$57&gt;0.005))+1</f>
        <v/>
      </c>
      <c r="H31">
        <f>IFERROR(MATCH(A31,$F$6:$F$20,0),0)</f>
        <v/>
      </c>
      <c r="I31">
        <f>IF(H31=0,"",INDEX(Start!$C$14:$C$28,H31))</f>
        <v/>
      </c>
      <c r="J31">
        <f>IF(H31=0,0,INDEX(Start!$D$14:$D$28,H31))</f>
        <v/>
      </c>
      <c r="K31">
        <f>IF(H31=0,0,INDEX(Start!$E$14:$E$28,H31)/12)</f>
        <v/>
      </c>
      <c r="L31">
        <f>IF(H31=0,0,INDEX(Start!$F$14:$F$28,H31))</f>
        <v/>
      </c>
      <c r="M31">
        <f>SUMPRODUCT(($C$69:$MX$69=1)*($C$82:$MX$82&gt;0.005))+1</f>
        <v/>
      </c>
    </row>
    <row r="32">
      <c r="A32" t="n">
        <v>9</v>
      </c>
      <c r="B32">
        <f>IFERROR(MATCH(A32,$D$6:$D$20,0),0)</f>
        <v/>
      </c>
      <c r="C32">
        <f>IF(B32=0,"",INDEX(Start!$C$14:$C$28,B32))</f>
        <v/>
      </c>
      <c r="D32">
        <f>IF(B32=0,0,INDEX(Start!$D$14:$D$28,B32))</f>
        <v/>
      </c>
      <c r="E32">
        <f>IF(B32=0,0,INDEX(Start!$E$14:$E$28,B32)/12)</f>
        <v/>
      </c>
      <c r="F32">
        <f>IF(B32=0,0,INDEX(Start!$F$14:$F$28,B32))</f>
        <v/>
      </c>
      <c r="G32">
        <f>SUMPRODUCT(($C$44:$MX$44=1)*($C$58:$MX$58&gt;0.005))+1</f>
        <v/>
      </c>
      <c r="H32">
        <f>IFERROR(MATCH(A32,$F$6:$F$20,0),0)</f>
        <v/>
      </c>
      <c r="I32">
        <f>IF(H32=0,"",INDEX(Start!$C$14:$C$28,H32))</f>
        <v/>
      </c>
      <c r="J32">
        <f>IF(H32=0,0,INDEX(Start!$D$14:$D$28,H32))</f>
        <v/>
      </c>
      <c r="K32">
        <f>IF(H32=0,0,INDEX(Start!$E$14:$E$28,H32)/12)</f>
        <v/>
      </c>
      <c r="L32">
        <f>IF(H32=0,0,INDEX(Start!$F$14:$F$28,H32))</f>
        <v/>
      </c>
      <c r="M32">
        <f>SUMPRODUCT(($C$69:$MX$69=1)*($C$83:$MX$83&gt;0.005))+1</f>
        <v/>
      </c>
    </row>
    <row r="33">
      <c r="A33" t="n">
        <v>10</v>
      </c>
      <c r="B33">
        <f>IFERROR(MATCH(A33,$D$6:$D$20,0),0)</f>
        <v/>
      </c>
      <c r="C33">
        <f>IF(B33=0,"",INDEX(Start!$C$14:$C$28,B33))</f>
        <v/>
      </c>
      <c r="D33">
        <f>IF(B33=0,0,INDEX(Start!$D$14:$D$28,B33))</f>
        <v/>
      </c>
      <c r="E33">
        <f>IF(B33=0,0,INDEX(Start!$E$14:$E$28,B33)/12)</f>
        <v/>
      </c>
      <c r="F33">
        <f>IF(B33=0,0,INDEX(Start!$F$14:$F$28,B33))</f>
        <v/>
      </c>
      <c r="G33">
        <f>SUMPRODUCT(($C$44:$MX$44=1)*($C$59:$MX$59&gt;0.005))+1</f>
        <v/>
      </c>
      <c r="H33">
        <f>IFERROR(MATCH(A33,$F$6:$F$20,0),0)</f>
        <v/>
      </c>
      <c r="I33">
        <f>IF(H33=0,"",INDEX(Start!$C$14:$C$28,H33))</f>
        <v/>
      </c>
      <c r="J33">
        <f>IF(H33=0,0,INDEX(Start!$D$14:$D$28,H33))</f>
        <v/>
      </c>
      <c r="K33">
        <f>IF(H33=0,0,INDEX(Start!$E$14:$E$28,H33)/12)</f>
        <v/>
      </c>
      <c r="L33">
        <f>IF(H33=0,0,INDEX(Start!$F$14:$F$28,H33))</f>
        <v/>
      </c>
      <c r="M33">
        <f>SUMPRODUCT(($C$69:$MX$69=1)*($C$84:$MX$84&gt;0.005))+1</f>
        <v/>
      </c>
    </row>
    <row r="34">
      <c r="A34" t="n">
        <v>11</v>
      </c>
      <c r="B34">
        <f>IFERROR(MATCH(A34,$D$6:$D$20,0),0)</f>
        <v/>
      </c>
      <c r="C34">
        <f>IF(B34=0,"",INDEX(Start!$C$14:$C$28,B34))</f>
        <v/>
      </c>
      <c r="D34">
        <f>IF(B34=0,0,INDEX(Start!$D$14:$D$28,B34))</f>
        <v/>
      </c>
      <c r="E34">
        <f>IF(B34=0,0,INDEX(Start!$E$14:$E$28,B34)/12)</f>
        <v/>
      </c>
      <c r="F34">
        <f>IF(B34=0,0,INDEX(Start!$F$14:$F$28,B34))</f>
        <v/>
      </c>
      <c r="G34">
        <f>SUMPRODUCT(($C$44:$MX$44=1)*($C$60:$MX$60&gt;0.005))+1</f>
        <v/>
      </c>
      <c r="H34">
        <f>IFERROR(MATCH(A34,$F$6:$F$20,0),0)</f>
        <v/>
      </c>
      <c r="I34">
        <f>IF(H34=0,"",INDEX(Start!$C$14:$C$28,H34))</f>
        <v/>
      </c>
      <c r="J34">
        <f>IF(H34=0,0,INDEX(Start!$D$14:$D$28,H34))</f>
        <v/>
      </c>
      <c r="K34">
        <f>IF(H34=0,0,INDEX(Start!$E$14:$E$28,H34)/12)</f>
        <v/>
      </c>
      <c r="L34">
        <f>IF(H34=0,0,INDEX(Start!$F$14:$F$28,H34))</f>
        <v/>
      </c>
      <c r="M34">
        <f>SUMPRODUCT(($C$69:$MX$69=1)*($C$85:$MX$85&gt;0.005))+1</f>
        <v/>
      </c>
    </row>
    <row r="35">
      <c r="A35" t="n">
        <v>12</v>
      </c>
      <c r="B35">
        <f>IFERROR(MATCH(A35,$D$6:$D$20,0),0)</f>
        <v/>
      </c>
      <c r="C35">
        <f>IF(B35=0,"",INDEX(Start!$C$14:$C$28,B35))</f>
        <v/>
      </c>
      <c r="D35">
        <f>IF(B35=0,0,INDEX(Start!$D$14:$D$28,B35))</f>
        <v/>
      </c>
      <c r="E35">
        <f>IF(B35=0,0,INDEX(Start!$E$14:$E$28,B35)/12)</f>
        <v/>
      </c>
      <c r="F35">
        <f>IF(B35=0,0,INDEX(Start!$F$14:$F$28,B35))</f>
        <v/>
      </c>
      <c r="G35">
        <f>SUMPRODUCT(($C$44:$MX$44=1)*($C$61:$MX$61&gt;0.005))+1</f>
        <v/>
      </c>
      <c r="H35">
        <f>IFERROR(MATCH(A35,$F$6:$F$20,0),0)</f>
        <v/>
      </c>
      <c r="I35">
        <f>IF(H35=0,"",INDEX(Start!$C$14:$C$28,H35))</f>
        <v/>
      </c>
      <c r="J35">
        <f>IF(H35=0,0,INDEX(Start!$D$14:$D$28,H35))</f>
        <v/>
      </c>
      <c r="K35">
        <f>IF(H35=0,0,INDEX(Start!$E$14:$E$28,H35)/12)</f>
        <v/>
      </c>
      <c r="L35">
        <f>IF(H35=0,0,INDEX(Start!$F$14:$F$28,H35))</f>
        <v/>
      </c>
      <c r="M35">
        <f>SUMPRODUCT(($C$69:$MX$69=1)*($C$86:$MX$86&gt;0.005))+1</f>
        <v/>
      </c>
    </row>
    <row r="36">
      <c r="A36" t="n">
        <v>13</v>
      </c>
      <c r="B36">
        <f>IFERROR(MATCH(A36,$D$6:$D$20,0),0)</f>
        <v/>
      </c>
      <c r="C36">
        <f>IF(B36=0,"",INDEX(Start!$C$14:$C$28,B36))</f>
        <v/>
      </c>
      <c r="D36">
        <f>IF(B36=0,0,INDEX(Start!$D$14:$D$28,B36))</f>
        <v/>
      </c>
      <c r="E36">
        <f>IF(B36=0,0,INDEX(Start!$E$14:$E$28,B36)/12)</f>
        <v/>
      </c>
      <c r="F36">
        <f>IF(B36=0,0,INDEX(Start!$F$14:$F$28,B36))</f>
        <v/>
      </c>
      <c r="G36">
        <f>SUMPRODUCT(($C$44:$MX$44=1)*($C$62:$MX$62&gt;0.005))+1</f>
        <v/>
      </c>
      <c r="H36">
        <f>IFERROR(MATCH(A36,$F$6:$F$20,0),0)</f>
        <v/>
      </c>
      <c r="I36">
        <f>IF(H36=0,"",INDEX(Start!$C$14:$C$28,H36))</f>
        <v/>
      </c>
      <c r="J36">
        <f>IF(H36=0,0,INDEX(Start!$D$14:$D$28,H36))</f>
        <v/>
      </c>
      <c r="K36">
        <f>IF(H36=0,0,INDEX(Start!$E$14:$E$28,H36)/12)</f>
        <v/>
      </c>
      <c r="L36">
        <f>IF(H36=0,0,INDEX(Start!$F$14:$F$28,H36))</f>
        <v/>
      </c>
      <c r="M36">
        <f>SUMPRODUCT(($C$69:$MX$69=1)*($C$87:$MX$87&gt;0.005))+1</f>
        <v/>
      </c>
    </row>
    <row r="37">
      <c r="A37" t="n">
        <v>14</v>
      </c>
      <c r="B37">
        <f>IFERROR(MATCH(A37,$D$6:$D$20,0),0)</f>
        <v/>
      </c>
      <c r="C37">
        <f>IF(B37=0,"",INDEX(Start!$C$14:$C$28,B37))</f>
        <v/>
      </c>
      <c r="D37">
        <f>IF(B37=0,0,INDEX(Start!$D$14:$D$28,B37))</f>
        <v/>
      </c>
      <c r="E37">
        <f>IF(B37=0,0,INDEX(Start!$E$14:$E$28,B37)/12)</f>
        <v/>
      </c>
      <c r="F37">
        <f>IF(B37=0,0,INDEX(Start!$F$14:$F$28,B37))</f>
        <v/>
      </c>
      <c r="G37">
        <f>SUMPRODUCT(($C$44:$MX$44=1)*($C$63:$MX$63&gt;0.005))+1</f>
        <v/>
      </c>
      <c r="H37">
        <f>IFERROR(MATCH(A37,$F$6:$F$20,0),0)</f>
        <v/>
      </c>
      <c r="I37">
        <f>IF(H37=0,"",INDEX(Start!$C$14:$C$28,H37))</f>
        <v/>
      </c>
      <c r="J37">
        <f>IF(H37=0,0,INDEX(Start!$D$14:$D$28,H37))</f>
        <v/>
      </c>
      <c r="K37">
        <f>IF(H37=0,0,INDEX(Start!$E$14:$E$28,H37)/12)</f>
        <v/>
      </c>
      <c r="L37">
        <f>IF(H37=0,0,INDEX(Start!$F$14:$F$28,H37))</f>
        <v/>
      </c>
      <c r="M37">
        <f>SUMPRODUCT(($C$69:$MX$69=1)*($C$88:$MX$88&gt;0.005))+1</f>
        <v/>
      </c>
    </row>
    <row r="38">
      <c r="A38" t="n">
        <v>15</v>
      </c>
      <c r="B38">
        <f>IFERROR(MATCH(A38,$D$6:$D$20,0),0)</f>
        <v/>
      </c>
      <c r="C38">
        <f>IF(B38=0,"",INDEX(Start!$C$14:$C$28,B38))</f>
        <v/>
      </c>
      <c r="D38">
        <f>IF(B38=0,0,INDEX(Start!$D$14:$D$28,B38))</f>
        <v/>
      </c>
      <c r="E38">
        <f>IF(B38=0,0,INDEX(Start!$E$14:$E$28,B38)/12)</f>
        <v/>
      </c>
      <c r="F38">
        <f>IF(B38=0,0,INDEX(Start!$F$14:$F$28,B38))</f>
        <v/>
      </c>
      <c r="G38">
        <f>SUMPRODUCT(($C$44:$MX$44=1)*($C$64:$MX$64&gt;0.005))+1</f>
        <v/>
      </c>
      <c r="H38">
        <f>IFERROR(MATCH(A38,$F$6:$F$20,0),0)</f>
        <v/>
      </c>
      <c r="I38">
        <f>IF(H38=0,"",INDEX(Start!$C$14:$C$28,H38))</f>
        <v/>
      </c>
      <c r="J38">
        <f>IF(H38=0,0,INDEX(Start!$D$14:$D$28,H38))</f>
        <v/>
      </c>
      <c r="K38">
        <f>IF(H38=0,0,INDEX(Start!$E$14:$E$28,H38)/12)</f>
        <v/>
      </c>
      <c r="L38">
        <f>IF(H38=0,0,INDEX(Start!$F$14:$F$28,H38))</f>
        <v/>
      </c>
      <c r="M38">
        <f>SUMPRODUCT(($C$69:$MX$69=1)*($C$89:$MX$89&gt;0.005))+1</f>
        <v/>
      </c>
    </row>
    <row r="44">
      <c r="A44" t="inlineStr">
        <is>
          <t>closing marker</t>
        </is>
      </c>
      <c r="E44" t="n">
        <v>1</v>
      </c>
      <c r="H44" t="n">
        <v>1</v>
      </c>
      <c r="K44" t="n">
        <v>1</v>
      </c>
      <c r="N44" t="n">
        <v>1</v>
      </c>
      <c r="Q44" t="n">
        <v>1</v>
      </c>
      <c r="T44" t="n">
        <v>1</v>
      </c>
      <c r="W44" t="n">
        <v>1</v>
      </c>
      <c r="Z44" t="n">
        <v>1</v>
      </c>
      <c r="AC44" t="n">
        <v>1</v>
      </c>
      <c r="AF44" t="n">
        <v>1</v>
      </c>
      <c r="AI44" t="n">
        <v>1</v>
      </c>
      <c r="AL44" t="n">
        <v>1</v>
      </c>
      <c r="AO44" t="n">
        <v>1</v>
      </c>
      <c r="AR44" t="n">
        <v>1</v>
      </c>
      <c r="AU44" t="n">
        <v>1</v>
      </c>
      <c r="AX44" t="n">
        <v>1</v>
      </c>
      <c r="BA44" t="n">
        <v>1</v>
      </c>
      <c r="BD44" t="n">
        <v>1</v>
      </c>
      <c r="BG44" t="n">
        <v>1</v>
      </c>
      <c r="BJ44" t="n">
        <v>1</v>
      </c>
      <c r="BM44" t="n">
        <v>1</v>
      </c>
      <c r="BP44" t="n">
        <v>1</v>
      </c>
      <c r="BS44" t="n">
        <v>1</v>
      </c>
      <c r="BV44" t="n">
        <v>1</v>
      </c>
      <c r="BY44" t="n">
        <v>1</v>
      </c>
      <c r="CB44" t="n">
        <v>1</v>
      </c>
      <c r="CE44" t="n">
        <v>1</v>
      </c>
      <c r="CH44" t="n">
        <v>1</v>
      </c>
      <c r="CK44" t="n">
        <v>1</v>
      </c>
      <c r="CN44" t="n">
        <v>1</v>
      </c>
      <c r="CQ44" t="n">
        <v>1</v>
      </c>
      <c r="CT44" t="n">
        <v>1</v>
      </c>
      <c r="CW44" t="n">
        <v>1</v>
      </c>
      <c r="CZ44" t="n">
        <v>1</v>
      </c>
      <c r="DC44" t="n">
        <v>1</v>
      </c>
      <c r="DF44" t="n">
        <v>1</v>
      </c>
      <c r="DI44" t="n">
        <v>1</v>
      </c>
      <c r="DL44" t="n">
        <v>1</v>
      </c>
      <c r="DO44" t="n">
        <v>1</v>
      </c>
      <c r="DR44" t="n">
        <v>1</v>
      </c>
      <c r="DU44" t="n">
        <v>1</v>
      </c>
      <c r="DX44" t="n">
        <v>1</v>
      </c>
      <c r="EA44" t="n">
        <v>1</v>
      </c>
      <c r="ED44" t="n">
        <v>1</v>
      </c>
      <c r="EG44" t="n">
        <v>1</v>
      </c>
      <c r="EJ44" t="n">
        <v>1</v>
      </c>
      <c r="EM44" t="n">
        <v>1</v>
      </c>
      <c r="EP44" t="n">
        <v>1</v>
      </c>
      <c r="ES44" t="n">
        <v>1</v>
      </c>
      <c r="EV44" t="n">
        <v>1</v>
      </c>
      <c r="EY44" t="n">
        <v>1</v>
      </c>
      <c r="FB44" t="n">
        <v>1</v>
      </c>
      <c r="FE44" t="n">
        <v>1</v>
      </c>
      <c r="FH44" t="n">
        <v>1</v>
      </c>
      <c r="FK44" t="n">
        <v>1</v>
      </c>
      <c r="FN44" t="n">
        <v>1</v>
      </c>
      <c r="FQ44" t="n">
        <v>1</v>
      </c>
      <c r="FT44" t="n">
        <v>1</v>
      </c>
      <c r="FW44" t="n">
        <v>1</v>
      </c>
      <c r="FZ44" t="n">
        <v>1</v>
      </c>
      <c r="GC44" t="n">
        <v>1</v>
      </c>
      <c r="GF44" t="n">
        <v>1</v>
      </c>
      <c r="GI44" t="n">
        <v>1</v>
      </c>
      <c r="GL44" t="n">
        <v>1</v>
      </c>
      <c r="GO44" t="n">
        <v>1</v>
      </c>
      <c r="GR44" t="n">
        <v>1</v>
      </c>
      <c r="GU44" t="n">
        <v>1</v>
      </c>
      <c r="GX44" t="n">
        <v>1</v>
      </c>
      <c r="HA44" t="n">
        <v>1</v>
      </c>
      <c r="HD44" t="n">
        <v>1</v>
      </c>
      <c r="HG44" t="n">
        <v>1</v>
      </c>
      <c r="HJ44" t="n">
        <v>1</v>
      </c>
      <c r="HM44" t="n">
        <v>1</v>
      </c>
      <c r="HP44" t="n">
        <v>1</v>
      </c>
      <c r="HS44" t="n">
        <v>1</v>
      </c>
      <c r="HV44" t="n">
        <v>1</v>
      </c>
      <c r="HY44" t="n">
        <v>1</v>
      </c>
      <c r="IB44" t="n">
        <v>1</v>
      </c>
      <c r="IE44" t="n">
        <v>1</v>
      </c>
      <c r="IH44" t="n">
        <v>1</v>
      </c>
      <c r="IK44" t="n">
        <v>1</v>
      </c>
      <c r="IN44" t="n">
        <v>1</v>
      </c>
      <c r="IQ44" t="n">
        <v>1</v>
      </c>
      <c r="IT44" t="n">
        <v>1</v>
      </c>
      <c r="IW44" t="n">
        <v>1</v>
      </c>
      <c r="IZ44" t="n">
        <v>1</v>
      </c>
      <c r="JC44" t="n">
        <v>1</v>
      </c>
      <c r="JF44" t="n">
        <v>1</v>
      </c>
      <c r="JI44" t="n">
        <v>1</v>
      </c>
      <c r="JL44" t="n">
        <v>1</v>
      </c>
      <c r="JO44" t="n">
        <v>1</v>
      </c>
      <c r="JR44" t="n">
        <v>1</v>
      </c>
      <c r="JU44" t="n">
        <v>1</v>
      </c>
      <c r="JX44" t="n">
        <v>1</v>
      </c>
      <c r="KA44" t="n">
        <v>1</v>
      </c>
      <c r="KD44" t="n">
        <v>1</v>
      </c>
      <c r="KG44" t="n">
        <v>1</v>
      </c>
      <c r="KJ44" t="n">
        <v>1</v>
      </c>
      <c r="KM44" t="n">
        <v>1</v>
      </c>
      <c r="KP44" t="n">
        <v>1</v>
      </c>
      <c r="KS44" t="n">
        <v>1</v>
      </c>
      <c r="KV44" t="n">
        <v>1</v>
      </c>
      <c r="KY44" t="n">
        <v>1</v>
      </c>
      <c r="LB44" t="n">
        <v>1</v>
      </c>
      <c r="LE44" t="n">
        <v>1</v>
      </c>
      <c r="LH44" t="n">
        <v>1</v>
      </c>
      <c r="LK44" t="n">
        <v>1</v>
      </c>
      <c r="LN44" t="n">
        <v>1</v>
      </c>
      <c r="LQ44" t="n">
        <v>1</v>
      </c>
      <c r="LT44" t="n">
        <v>1</v>
      </c>
      <c r="LW44" t="n">
        <v>1</v>
      </c>
      <c r="LZ44" t="n">
        <v>1</v>
      </c>
      <c r="MC44" t="n">
        <v>1</v>
      </c>
      <c r="MF44" t="n">
        <v>1</v>
      </c>
      <c r="MI44" t="n">
        <v>1</v>
      </c>
      <c r="ML44" t="n">
        <v>1</v>
      </c>
      <c r="MO44" t="n">
        <v>1</v>
      </c>
      <c r="MR44" t="n">
        <v>1</v>
      </c>
      <c r="MU44" t="n">
        <v>1</v>
      </c>
      <c r="MX44" t="n">
        <v>1</v>
      </c>
    </row>
    <row r="45">
      <c r="A45" t="inlineStr">
        <is>
          <t>month</t>
        </is>
      </c>
      <c r="C45" t="n">
        <v>1</v>
      </c>
      <c r="F45" t="n">
        <v>2</v>
      </c>
      <c r="I45" t="n">
        <v>3</v>
      </c>
      <c r="L45" t="n">
        <v>4</v>
      </c>
      <c r="O45" t="n">
        <v>5</v>
      </c>
      <c r="R45" t="n">
        <v>6</v>
      </c>
      <c r="U45" t="n">
        <v>7</v>
      </c>
      <c r="X45" t="n">
        <v>8</v>
      </c>
      <c r="AA45" t="n">
        <v>9</v>
      </c>
      <c r="AD45" t="n">
        <v>10</v>
      </c>
      <c r="AG45" t="n">
        <v>11</v>
      </c>
      <c r="AJ45" t="n">
        <v>12</v>
      </c>
      <c r="AM45" t="n">
        <v>13</v>
      </c>
      <c r="AP45" t="n">
        <v>14</v>
      </c>
      <c r="AS45" t="n">
        <v>15</v>
      </c>
      <c r="AV45" t="n">
        <v>16</v>
      </c>
      <c r="AY45" t="n">
        <v>17</v>
      </c>
      <c r="BB45" t="n">
        <v>18</v>
      </c>
      <c r="BE45" t="n">
        <v>19</v>
      </c>
      <c r="BH45" t="n">
        <v>20</v>
      </c>
      <c r="BK45" t="n">
        <v>21</v>
      </c>
      <c r="BN45" t="n">
        <v>22</v>
      </c>
      <c r="BQ45" t="n">
        <v>23</v>
      </c>
      <c r="BT45" t="n">
        <v>24</v>
      </c>
      <c r="BW45" t="n">
        <v>25</v>
      </c>
      <c r="BZ45" t="n">
        <v>26</v>
      </c>
      <c r="CC45" t="n">
        <v>27</v>
      </c>
      <c r="CF45" t="n">
        <v>28</v>
      </c>
      <c r="CI45" t="n">
        <v>29</v>
      </c>
      <c r="CL45" t="n">
        <v>30</v>
      </c>
      <c r="CO45" t="n">
        <v>31</v>
      </c>
      <c r="CR45" t="n">
        <v>32</v>
      </c>
      <c r="CU45" t="n">
        <v>33</v>
      </c>
      <c r="CX45" t="n">
        <v>34</v>
      </c>
      <c r="DA45" t="n">
        <v>35</v>
      </c>
      <c r="DD45" t="n">
        <v>36</v>
      </c>
      <c r="DG45" t="n">
        <v>37</v>
      </c>
      <c r="DJ45" t="n">
        <v>38</v>
      </c>
      <c r="DM45" t="n">
        <v>39</v>
      </c>
      <c r="DP45" t="n">
        <v>40</v>
      </c>
      <c r="DS45" t="n">
        <v>41</v>
      </c>
      <c r="DV45" t="n">
        <v>42</v>
      </c>
      <c r="DY45" t="n">
        <v>43</v>
      </c>
      <c r="EB45" t="n">
        <v>44</v>
      </c>
      <c r="EE45" t="n">
        <v>45</v>
      </c>
      <c r="EH45" t="n">
        <v>46</v>
      </c>
      <c r="EK45" t="n">
        <v>47</v>
      </c>
      <c r="EN45" t="n">
        <v>48</v>
      </c>
      <c r="EQ45" t="n">
        <v>49</v>
      </c>
      <c r="ET45" t="n">
        <v>50</v>
      </c>
      <c r="EW45" t="n">
        <v>51</v>
      </c>
      <c r="EZ45" t="n">
        <v>52</v>
      </c>
      <c r="FC45" t="n">
        <v>53</v>
      </c>
      <c r="FF45" t="n">
        <v>54</v>
      </c>
      <c r="FI45" t="n">
        <v>55</v>
      </c>
      <c r="FL45" t="n">
        <v>56</v>
      </c>
      <c r="FO45" t="n">
        <v>57</v>
      </c>
      <c r="FR45" t="n">
        <v>58</v>
      </c>
      <c r="FU45" t="n">
        <v>59</v>
      </c>
      <c r="FX45" t="n">
        <v>60</v>
      </c>
      <c r="GA45" t="n">
        <v>61</v>
      </c>
      <c r="GD45" t="n">
        <v>62</v>
      </c>
      <c r="GG45" t="n">
        <v>63</v>
      </c>
      <c r="GJ45" t="n">
        <v>64</v>
      </c>
      <c r="GM45" t="n">
        <v>65</v>
      </c>
      <c r="GP45" t="n">
        <v>66</v>
      </c>
      <c r="GS45" t="n">
        <v>67</v>
      </c>
      <c r="GV45" t="n">
        <v>68</v>
      </c>
      <c r="GY45" t="n">
        <v>69</v>
      </c>
      <c r="HB45" t="n">
        <v>70</v>
      </c>
      <c r="HE45" t="n">
        <v>71</v>
      </c>
      <c r="HH45" t="n">
        <v>72</v>
      </c>
      <c r="HK45" t="n">
        <v>73</v>
      </c>
      <c r="HN45" t="n">
        <v>74</v>
      </c>
      <c r="HQ45" t="n">
        <v>75</v>
      </c>
      <c r="HT45" t="n">
        <v>76</v>
      </c>
      <c r="HW45" t="n">
        <v>77</v>
      </c>
      <c r="HZ45" t="n">
        <v>78</v>
      </c>
      <c r="IC45" t="n">
        <v>79</v>
      </c>
      <c r="IF45" t="n">
        <v>80</v>
      </c>
      <c r="II45" t="n">
        <v>81</v>
      </c>
      <c r="IL45" t="n">
        <v>82</v>
      </c>
      <c r="IO45" t="n">
        <v>83</v>
      </c>
      <c r="IR45" t="n">
        <v>84</v>
      </c>
      <c r="IU45" t="n">
        <v>85</v>
      </c>
      <c r="IX45" t="n">
        <v>86</v>
      </c>
      <c r="JA45" t="n">
        <v>87</v>
      </c>
      <c r="JD45" t="n">
        <v>88</v>
      </c>
      <c r="JG45" t="n">
        <v>89</v>
      </c>
      <c r="JJ45" t="n">
        <v>90</v>
      </c>
      <c r="JM45" t="n">
        <v>91</v>
      </c>
      <c r="JP45" t="n">
        <v>92</v>
      </c>
      <c r="JS45" t="n">
        <v>93</v>
      </c>
      <c r="JV45" t="n">
        <v>94</v>
      </c>
      <c r="JY45" t="n">
        <v>95</v>
      </c>
      <c r="KB45" t="n">
        <v>96</v>
      </c>
      <c r="KE45" t="n">
        <v>97</v>
      </c>
      <c r="KH45" t="n">
        <v>98</v>
      </c>
      <c r="KK45" t="n">
        <v>99</v>
      </c>
      <c r="KN45" t="n">
        <v>100</v>
      </c>
      <c r="KQ45" t="n">
        <v>101</v>
      </c>
      <c r="KT45" t="n">
        <v>102</v>
      </c>
      <c r="KW45" t="n">
        <v>103</v>
      </c>
      <c r="KZ45" t="n">
        <v>104</v>
      </c>
      <c r="LC45" t="n">
        <v>105</v>
      </c>
      <c r="LF45" t="n">
        <v>106</v>
      </c>
      <c r="LI45" t="n">
        <v>107</v>
      </c>
      <c r="LL45" t="n">
        <v>108</v>
      </c>
      <c r="LO45" t="n">
        <v>109</v>
      </c>
      <c r="LR45" t="n">
        <v>110</v>
      </c>
      <c r="LU45" t="n">
        <v>111</v>
      </c>
      <c r="LX45" t="n">
        <v>112</v>
      </c>
      <c r="MA45" t="n">
        <v>113</v>
      </c>
      <c r="MD45" t="n">
        <v>114</v>
      </c>
      <c r="MG45" t="n">
        <v>115</v>
      </c>
      <c r="MJ45" t="n">
        <v>116</v>
      </c>
      <c r="MM45" t="n">
        <v>117</v>
      </c>
      <c r="MP45" t="n">
        <v>118</v>
      </c>
      <c r="MS45" t="n">
        <v>119</v>
      </c>
      <c r="MV45" t="n">
        <v>120</v>
      </c>
    </row>
    <row r="46">
      <c r="A46" t="inlineStr">
        <is>
          <t>sum of minimums</t>
        </is>
      </c>
      <c r="C46">
        <f>SUMPRODUCT(B50:B64,$E$24:$E$38)+SUM(B50:B64)-SUM(C50:C64)</f>
        <v/>
      </c>
      <c r="F46">
        <f>SUMPRODUCT(E50:E64,$E$24:$E$38)+SUM(E50:E64)-SUM(F50:F64)</f>
        <v/>
      </c>
      <c r="I46">
        <f>SUMPRODUCT(H50:H64,$E$24:$E$38)+SUM(H50:H64)-SUM(I50:I64)</f>
        <v/>
      </c>
      <c r="L46">
        <f>SUMPRODUCT(K50:K64,$E$24:$E$38)+SUM(K50:K64)-SUM(L50:L64)</f>
        <v/>
      </c>
      <c r="O46">
        <f>SUMPRODUCT(N50:N64,$E$24:$E$38)+SUM(N50:N64)-SUM(O50:O64)</f>
        <v/>
      </c>
      <c r="R46">
        <f>SUMPRODUCT(Q50:Q64,$E$24:$E$38)+SUM(Q50:Q64)-SUM(R50:R64)</f>
        <v/>
      </c>
      <c r="U46">
        <f>SUMPRODUCT(T50:T64,$E$24:$E$38)+SUM(T50:T64)-SUM(U50:U64)</f>
        <v/>
      </c>
      <c r="X46">
        <f>SUMPRODUCT(W50:W64,$E$24:$E$38)+SUM(W50:W64)-SUM(X50:X64)</f>
        <v/>
      </c>
      <c r="AA46">
        <f>SUMPRODUCT(Z50:Z64,$E$24:$E$38)+SUM(Z50:Z64)-SUM(AA50:AA64)</f>
        <v/>
      </c>
      <c r="AD46">
        <f>SUMPRODUCT(AC50:AC64,$E$24:$E$38)+SUM(AC50:AC64)-SUM(AD50:AD64)</f>
        <v/>
      </c>
      <c r="AG46">
        <f>SUMPRODUCT(AF50:AF64,$E$24:$E$38)+SUM(AF50:AF64)-SUM(AG50:AG64)</f>
        <v/>
      </c>
      <c r="AJ46">
        <f>SUMPRODUCT(AI50:AI64,$E$24:$E$38)+SUM(AI50:AI64)-SUM(AJ50:AJ64)</f>
        <v/>
      </c>
      <c r="AM46">
        <f>SUMPRODUCT(AL50:AL64,$E$24:$E$38)+SUM(AL50:AL64)-SUM(AM50:AM64)</f>
        <v/>
      </c>
      <c r="AP46">
        <f>SUMPRODUCT(AO50:AO64,$E$24:$E$38)+SUM(AO50:AO64)-SUM(AP50:AP64)</f>
        <v/>
      </c>
      <c r="AS46">
        <f>SUMPRODUCT(AR50:AR64,$E$24:$E$38)+SUM(AR50:AR64)-SUM(AS50:AS64)</f>
        <v/>
      </c>
      <c r="AV46">
        <f>SUMPRODUCT(AU50:AU64,$E$24:$E$38)+SUM(AU50:AU64)-SUM(AV50:AV64)</f>
        <v/>
      </c>
      <c r="AY46">
        <f>SUMPRODUCT(AX50:AX64,$E$24:$E$38)+SUM(AX50:AX64)-SUM(AY50:AY64)</f>
        <v/>
      </c>
      <c r="BB46">
        <f>SUMPRODUCT(BA50:BA64,$E$24:$E$38)+SUM(BA50:BA64)-SUM(BB50:BB64)</f>
        <v/>
      </c>
      <c r="BE46">
        <f>SUMPRODUCT(BD50:BD64,$E$24:$E$38)+SUM(BD50:BD64)-SUM(BE50:BE64)</f>
        <v/>
      </c>
      <c r="BH46">
        <f>SUMPRODUCT(BG50:BG64,$E$24:$E$38)+SUM(BG50:BG64)-SUM(BH50:BH64)</f>
        <v/>
      </c>
      <c r="BK46">
        <f>SUMPRODUCT(BJ50:BJ64,$E$24:$E$38)+SUM(BJ50:BJ64)-SUM(BK50:BK64)</f>
        <v/>
      </c>
      <c r="BN46">
        <f>SUMPRODUCT(BM50:BM64,$E$24:$E$38)+SUM(BM50:BM64)-SUM(BN50:BN64)</f>
        <v/>
      </c>
      <c r="BQ46">
        <f>SUMPRODUCT(BP50:BP64,$E$24:$E$38)+SUM(BP50:BP64)-SUM(BQ50:BQ64)</f>
        <v/>
      </c>
      <c r="BT46">
        <f>SUMPRODUCT(BS50:BS64,$E$24:$E$38)+SUM(BS50:BS64)-SUM(BT50:BT64)</f>
        <v/>
      </c>
      <c r="BW46">
        <f>SUMPRODUCT(BV50:BV64,$E$24:$E$38)+SUM(BV50:BV64)-SUM(BW50:BW64)</f>
        <v/>
      </c>
      <c r="BZ46">
        <f>SUMPRODUCT(BY50:BY64,$E$24:$E$38)+SUM(BY50:BY64)-SUM(BZ50:BZ64)</f>
        <v/>
      </c>
      <c r="CC46">
        <f>SUMPRODUCT(CB50:CB64,$E$24:$E$38)+SUM(CB50:CB64)-SUM(CC50:CC64)</f>
        <v/>
      </c>
      <c r="CF46">
        <f>SUMPRODUCT(CE50:CE64,$E$24:$E$38)+SUM(CE50:CE64)-SUM(CF50:CF64)</f>
        <v/>
      </c>
      <c r="CI46">
        <f>SUMPRODUCT(CH50:CH64,$E$24:$E$38)+SUM(CH50:CH64)-SUM(CI50:CI64)</f>
        <v/>
      </c>
      <c r="CL46">
        <f>SUMPRODUCT(CK50:CK64,$E$24:$E$38)+SUM(CK50:CK64)-SUM(CL50:CL64)</f>
        <v/>
      </c>
      <c r="CO46">
        <f>SUMPRODUCT(CN50:CN64,$E$24:$E$38)+SUM(CN50:CN64)-SUM(CO50:CO64)</f>
        <v/>
      </c>
      <c r="CR46">
        <f>SUMPRODUCT(CQ50:CQ64,$E$24:$E$38)+SUM(CQ50:CQ64)-SUM(CR50:CR64)</f>
        <v/>
      </c>
      <c r="CU46">
        <f>SUMPRODUCT(CT50:CT64,$E$24:$E$38)+SUM(CT50:CT64)-SUM(CU50:CU64)</f>
        <v/>
      </c>
      <c r="CX46">
        <f>SUMPRODUCT(CW50:CW64,$E$24:$E$38)+SUM(CW50:CW64)-SUM(CX50:CX64)</f>
        <v/>
      </c>
      <c r="DA46">
        <f>SUMPRODUCT(CZ50:CZ64,$E$24:$E$38)+SUM(CZ50:CZ64)-SUM(DA50:DA64)</f>
        <v/>
      </c>
      <c r="DD46">
        <f>SUMPRODUCT(DC50:DC64,$E$24:$E$38)+SUM(DC50:DC64)-SUM(DD50:DD64)</f>
        <v/>
      </c>
      <c r="DG46">
        <f>SUMPRODUCT(DF50:DF64,$E$24:$E$38)+SUM(DF50:DF64)-SUM(DG50:DG64)</f>
        <v/>
      </c>
      <c r="DJ46">
        <f>SUMPRODUCT(DI50:DI64,$E$24:$E$38)+SUM(DI50:DI64)-SUM(DJ50:DJ64)</f>
        <v/>
      </c>
      <c r="DM46">
        <f>SUMPRODUCT(DL50:DL64,$E$24:$E$38)+SUM(DL50:DL64)-SUM(DM50:DM64)</f>
        <v/>
      </c>
      <c r="DP46">
        <f>SUMPRODUCT(DO50:DO64,$E$24:$E$38)+SUM(DO50:DO64)-SUM(DP50:DP64)</f>
        <v/>
      </c>
      <c r="DS46">
        <f>SUMPRODUCT(DR50:DR64,$E$24:$E$38)+SUM(DR50:DR64)-SUM(DS50:DS64)</f>
        <v/>
      </c>
      <c r="DV46">
        <f>SUMPRODUCT(DU50:DU64,$E$24:$E$38)+SUM(DU50:DU64)-SUM(DV50:DV64)</f>
        <v/>
      </c>
      <c r="DY46">
        <f>SUMPRODUCT(DX50:DX64,$E$24:$E$38)+SUM(DX50:DX64)-SUM(DY50:DY64)</f>
        <v/>
      </c>
      <c r="EB46">
        <f>SUMPRODUCT(EA50:EA64,$E$24:$E$38)+SUM(EA50:EA64)-SUM(EB50:EB64)</f>
        <v/>
      </c>
      <c r="EE46">
        <f>SUMPRODUCT(ED50:ED64,$E$24:$E$38)+SUM(ED50:ED64)-SUM(EE50:EE64)</f>
        <v/>
      </c>
      <c r="EH46">
        <f>SUMPRODUCT(EG50:EG64,$E$24:$E$38)+SUM(EG50:EG64)-SUM(EH50:EH64)</f>
        <v/>
      </c>
      <c r="EK46">
        <f>SUMPRODUCT(EJ50:EJ64,$E$24:$E$38)+SUM(EJ50:EJ64)-SUM(EK50:EK64)</f>
        <v/>
      </c>
      <c r="EN46">
        <f>SUMPRODUCT(EM50:EM64,$E$24:$E$38)+SUM(EM50:EM64)-SUM(EN50:EN64)</f>
        <v/>
      </c>
      <c r="EQ46">
        <f>SUMPRODUCT(EP50:EP64,$E$24:$E$38)+SUM(EP50:EP64)-SUM(EQ50:EQ64)</f>
        <v/>
      </c>
      <c r="ET46">
        <f>SUMPRODUCT(ES50:ES64,$E$24:$E$38)+SUM(ES50:ES64)-SUM(ET50:ET64)</f>
        <v/>
      </c>
      <c r="EW46">
        <f>SUMPRODUCT(EV50:EV64,$E$24:$E$38)+SUM(EV50:EV64)-SUM(EW50:EW64)</f>
        <v/>
      </c>
      <c r="EZ46">
        <f>SUMPRODUCT(EY50:EY64,$E$24:$E$38)+SUM(EY50:EY64)-SUM(EZ50:EZ64)</f>
        <v/>
      </c>
      <c r="FC46">
        <f>SUMPRODUCT(FB50:FB64,$E$24:$E$38)+SUM(FB50:FB64)-SUM(FC50:FC64)</f>
        <v/>
      </c>
      <c r="FF46">
        <f>SUMPRODUCT(FE50:FE64,$E$24:$E$38)+SUM(FE50:FE64)-SUM(FF50:FF64)</f>
        <v/>
      </c>
      <c r="FI46">
        <f>SUMPRODUCT(FH50:FH64,$E$24:$E$38)+SUM(FH50:FH64)-SUM(FI50:FI64)</f>
        <v/>
      </c>
      <c r="FL46">
        <f>SUMPRODUCT(FK50:FK64,$E$24:$E$38)+SUM(FK50:FK64)-SUM(FL50:FL64)</f>
        <v/>
      </c>
      <c r="FO46">
        <f>SUMPRODUCT(FN50:FN64,$E$24:$E$38)+SUM(FN50:FN64)-SUM(FO50:FO64)</f>
        <v/>
      </c>
      <c r="FR46">
        <f>SUMPRODUCT(FQ50:FQ64,$E$24:$E$38)+SUM(FQ50:FQ64)-SUM(FR50:FR64)</f>
        <v/>
      </c>
      <c r="FU46">
        <f>SUMPRODUCT(FT50:FT64,$E$24:$E$38)+SUM(FT50:FT64)-SUM(FU50:FU64)</f>
        <v/>
      </c>
      <c r="FX46">
        <f>SUMPRODUCT(FW50:FW64,$E$24:$E$38)+SUM(FW50:FW64)-SUM(FX50:FX64)</f>
        <v/>
      </c>
      <c r="GA46">
        <f>SUMPRODUCT(FZ50:FZ64,$E$24:$E$38)+SUM(FZ50:FZ64)-SUM(GA50:GA64)</f>
        <v/>
      </c>
      <c r="GD46">
        <f>SUMPRODUCT(GC50:GC64,$E$24:$E$38)+SUM(GC50:GC64)-SUM(GD50:GD64)</f>
        <v/>
      </c>
      <c r="GG46">
        <f>SUMPRODUCT(GF50:GF64,$E$24:$E$38)+SUM(GF50:GF64)-SUM(GG50:GG64)</f>
        <v/>
      </c>
      <c r="GJ46">
        <f>SUMPRODUCT(GI50:GI64,$E$24:$E$38)+SUM(GI50:GI64)-SUM(GJ50:GJ64)</f>
        <v/>
      </c>
      <c r="GM46">
        <f>SUMPRODUCT(GL50:GL64,$E$24:$E$38)+SUM(GL50:GL64)-SUM(GM50:GM64)</f>
        <v/>
      </c>
      <c r="GP46">
        <f>SUMPRODUCT(GO50:GO64,$E$24:$E$38)+SUM(GO50:GO64)-SUM(GP50:GP64)</f>
        <v/>
      </c>
      <c r="GS46">
        <f>SUMPRODUCT(GR50:GR64,$E$24:$E$38)+SUM(GR50:GR64)-SUM(GS50:GS64)</f>
        <v/>
      </c>
      <c r="GV46">
        <f>SUMPRODUCT(GU50:GU64,$E$24:$E$38)+SUM(GU50:GU64)-SUM(GV50:GV64)</f>
        <v/>
      </c>
      <c r="GY46">
        <f>SUMPRODUCT(GX50:GX64,$E$24:$E$38)+SUM(GX50:GX64)-SUM(GY50:GY64)</f>
        <v/>
      </c>
      <c r="HB46">
        <f>SUMPRODUCT(HA50:HA64,$E$24:$E$38)+SUM(HA50:HA64)-SUM(HB50:HB64)</f>
        <v/>
      </c>
      <c r="HE46">
        <f>SUMPRODUCT(HD50:HD64,$E$24:$E$38)+SUM(HD50:HD64)-SUM(HE50:HE64)</f>
        <v/>
      </c>
      <c r="HH46">
        <f>SUMPRODUCT(HG50:HG64,$E$24:$E$38)+SUM(HG50:HG64)-SUM(HH50:HH64)</f>
        <v/>
      </c>
      <c r="HK46">
        <f>SUMPRODUCT(HJ50:HJ64,$E$24:$E$38)+SUM(HJ50:HJ64)-SUM(HK50:HK64)</f>
        <v/>
      </c>
      <c r="HN46">
        <f>SUMPRODUCT(HM50:HM64,$E$24:$E$38)+SUM(HM50:HM64)-SUM(HN50:HN64)</f>
        <v/>
      </c>
      <c r="HQ46">
        <f>SUMPRODUCT(HP50:HP64,$E$24:$E$38)+SUM(HP50:HP64)-SUM(HQ50:HQ64)</f>
        <v/>
      </c>
      <c r="HT46">
        <f>SUMPRODUCT(HS50:HS64,$E$24:$E$38)+SUM(HS50:HS64)-SUM(HT50:HT64)</f>
        <v/>
      </c>
      <c r="HW46">
        <f>SUMPRODUCT(HV50:HV64,$E$24:$E$38)+SUM(HV50:HV64)-SUM(HW50:HW64)</f>
        <v/>
      </c>
      <c r="HZ46">
        <f>SUMPRODUCT(HY50:HY64,$E$24:$E$38)+SUM(HY50:HY64)-SUM(HZ50:HZ64)</f>
        <v/>
      </c>
      <c r="IC46">
        <f>SUMPRODUCT(IB50:IB64,$E$24:$E$38)+SUM(IB50:IB64)-SUM(IC50:IC64)</f>
        <v/>
      </c>
      <c r="IF46">
        <f>SUMPRODUCT(IE50:IE64,$E$24:$E$38)+SUM(IE50:IE64)-SUM(IF50:IF64)</f>
        <v/>
      </c>
      <c r="II46">
        <f>SUMPRODUCT(IH50:IH64,$E$24:$E$38)+SUM(IH50:IH64)-SUM(II50:II64)</f>
        <v/>
      </c>
      <c r="IL46">
        <f>SUMPRODUCT(IK50:IK64,$E$24:$E$38)+SUM(IK50:IK64)-SUM(IL50:IL64)</f>
        <v/>
      </c>
      <c r="IO46">
        <f>SUMPRODUCT(IN50:IN64,$E$24:$E$38)+SUM(IN50:IN64)-SUM(IO50:IO64)</f>
        <v/>
      </c>
      <c r="IR46">
        <f>SUMPRODUCT(IQ50:IQ64,$E$24:$E$38)+SUM(IQ50:IQ64)-SUM(IR50:IR64)</f>
        <v/>
      </c>
      <c r="IU46">
        <f>SUMPRODUCT(IT50:IT64,$E$24:$E$38)+SUM(IT50:IT64)-SUM(IU50:IU64)</f>
        <v/>
      </c>
      <c r="IX46">
        <f>SUMPRODUCT(IW50:IW64,$E$24:$E$38)+SUM(IW50:IW64)-SUM(IX50:IX64)</f>
        <v/>
      </c>
      <c r="JA46">
        <f>SUMPRODUCT(IZ50:IZ64,$E$24:$E$38)+SUM(IZ50:IZ64)-SUM(JA50:JA64)</f>
        <v/>
      </c>
      <c r="JD46">
        <f>SUMPRODUCT(JC50:JC64,$E$24:$E$38)+SUM(JC50:JC64)-SUM(JD50:JD64)</f>
        <v/>
      </c>
      <c r="JG46">
        <f>SUMPRODUCT(JF50:JF64,$E$24:$E$38)+SUM(JF50:JF64)-SUM(JG50:JG64)</f>
        <v/>
      </c>
      <c r="JJ46">
        <f>SUMPRODUCT(JI50:JI64,$E$24:$E$38)+SUM(JI50:JI64)-SUM(JJ50:JJ64)</f>
        <v/>
      </c>
      <c r="JM46">
        <f>SUMPRODUCT(JL50:JL64,$E$24:$E$38)+SUM(JL50:JL64)-SUM(JM50:JM64)</f>
        <v/>
      </c>
      <c r="JP46">
        <f>SUMPRODUCT(JO50:JO64,$E$24:$E$38)+SUM(JO50:JO64)-SUM(JP50:JP64)</f>
        <v/>
      </c>
      <c r="JS46">
        <f>SUMPRODUCT(JR50:JR64,$E$24:$E$38)+SUM(JR50:JR64)-SUM(JS50:JS64)</f>
        <v/>
      </c>
      <c r="JV46">
        <f>SUMPRODUCT(JU50:JU64,$E$24:$E$38)+SUM(JU50:JU64)-SUM(JV50:JV64)</f>
        <v/>
      </c>
      <c r="JY46">
        <f>SUMPRODUCT(JX50:JX64,$E$24:$E$38)+SUM(JX50:JX64)-SUM(JY50:JY64)</f>
        <v/>
      </c>
      <c r="KB46">
        <f>SUMPRODUCT(KA50:KA64,$E$24:$E$38)+SUM(KA50:KA64)-SUM(KB50:KB64)</f>
        <v/>
      </c>
      <c r="KE46">
        <f>SUMPRODUCT(KD50:KD64,$E$24:$E$38)+SUM(KD50:KD64)-SUM(KE50:KE64)</f>
        <v/>
      </c>
      <c r="KH46">
        <f>SUMPRODUCT(KG50:KG64,$E$24:$E$38)+SUM(KG50:KG64)-SUM(KH50:KH64)</f>
        <v/>
      </c>
      <c r="KK46">
        <f>SUMPRODUCT(KJ50:KJ64,$E$24:$E$38)+SUM(KJ50:KJ64)-SUM(KK50:KK64)</f>
        <v/>
      </c>
      <c r="KN46">
        <f>SUMPRODUCT(KM50:KM64,$E$24:$E$38)+SUM(KM50:KM64)-SUM(KN50:KN64)</f>
        <v/>
      </c>
      <c r="KQ46">
        <f>SUMPRODUCT(KP50:KP64,$E$24:$E$38)+SUM(KP50:KP64)-SUM(KQ50:KQ64)</f>
        <v/>
      </c>
      <c r="KT46">
        <f>SUMPRODUCT(KS50:KS64,$E$24:$E$38)+SUM(KS50:KS64)-SUM(KT50:KT64)</f>
        <v/>
      </c>
      <c r="KW46">
        <f>SUMPRODUCT(KV50:KV64,$E$24:$E$38)+SUM(KV50:KV64)-SUM(KW50:KW64)</f>
        <v/>
      </c>
      <c r="KZ46">
        <f>SUMPRODUCT(KY50:KY64,$E$24:$E$38)+SUM(KY50:KY64)-SUM(KZ50:KZ64)</f>
        <v/>
      </c>
      <c r="LC46">
        <f>SUMPRODUCT(LB50:LB64,$E$24:$E$38)+SUM(LB50:LB64)-SUM(LC50:LC64)</f>
        <v/>
      </c>
      <c r="LF46">
        <f>SUMPRODUCT(LE50:LE64,$E$24:$E$38)+SUM(LE50:LE64)-SUM(LF50:LF64)</f>
        <v/>
      </c>
      <c r="LI46">
        <f>SUMPRODUCT(LH50:LH64,$E$24:$E$38)+SUM(LH50:LH64)-SUM(LI50:LI64)</f>
        <v/>
      </c>
      <c r="LL46">
        <f>SUMPRODUCT(LK50:LK64,$E$24:$E$38)+SUM(LK50:LK64)-SUM(LL50:LL64)</f>
        <v/>
      </c>
      <c r="LO46">
        <f>SUMPRODUCT(LN50:LN64,$E$24:$E$38)+SUM(LN50:LN64)-SUM(LO50:LO64)</f>
        <v/>
      </c>
      <c r="LR46">
        <f>SUMPRODUCT(LQ50:LQ64,$E$24:$E$38)+SUM(LQ50:LQ64)-SUM(LR50:LR64)</f>
        <v/>
      </c>
      <c r="LU46">
        <f>SUMPRODUCT(LT50:LT64,$E$24:$E$38)+SUM(LT50:LT64)-SUM(LU50:LU64)</f>
        <v/>
      </c>
      <c r="LX46">
        <f>SUMPRODUCT(LW50:LW64,$E$24:$E$38)+SUM(LW50:LW64)-SUM(LX50:LX64)</f>
        <v/>
      </c>
      <c r="MA46">
        <f>SUMPRODUCT(LZ50:LZ64,$E$24:$E$38)+SUM(LZ50:LZ64)-SUM(MA50:MA64)</f>
        <v/>
      </c>
      <c r="MD46">
        <f>SUMPRODUCT(MC50:MC64,$E$24:$E$38)+SUM(MC50:MC64)-SUM(MD50:MD64)</f>
        <v/>
      </c>
      <c r="MG46">
        <f>SUMPRODUCT(MF50:MF64,$E$24:$E$38)+SUM(MF50:MF64)-SUM(MG50:MG64)</f>
        <v/>
      </c>
      <c r="MJ46">
        <f>SUMPRODUCT(MI50:MI64,$E$24:$E$38)+SUM(MI50:MI64)-SUM(MJ50:MJ64)</f>
        <v/>
      </c>
      <c r="MM46">
        <f>SUMPRODUCT(ML50:ML64,$E$24:$E$38)+SUM(ML50:ML64)-SUM(MM50:MM64)</f>
        <v/>
      </c>
      <c r="MP46">
        <f>SUMPRODUCT(MO50:MO64,$E$24:$E$38)+SUM(MO50:MO64)-SUM(MP50:MP64)</f>
        <v/>
      </c>
      <c r="MS46">
        <f>SUMPRODUCT(MR50:MR64,$E$24:$E$38)+SUM(MR50:MR64)-SUM(MS50:MS64)</f>
        <v/>
      </c>
      <c r="MV46">
        <f>SUMPRODUCT(MU50:MU64,$E$24:$E$38)+SUM(MU50:MU64)-SUM(MV50:MV64)</f>
        <v/>
      </c>
    </row>
    <row r="47">
      <c r="A47" t="inlineStr">
        <is>
          <t>interest</t>
        </is>
      </c>
      <c r="C47">
        <f>SUMPRODUCT(B50:B64,$E$24:$E$38)</f>
        <v/>
      </c>
      <c r="F47">
        <f>SUMPRODUCT(E50:E64,$E$24:$E$38)</f>
        <v/>
      </c>
      <c r="I47">
        <f>SUMPRODUCT(H50:H64,$E$24:$E$38)</f>
        <v/>
      </c>
      <c r="L47">
        <f>SUMPRODUCT(K50:K64,$E$24:$E$38)</f>
        <v/>
      </c>
      <c r="O47">
        <f>SUMPRODUCT(N50:N64,$E$24:$E$38)</f>
        <v/>
      </c>
      <c r="R47">
        <f>SUMPRODUCT(Q50:Q64,$E$24:$E$38)</f>
        <v/>
      </c>
      <c r="U47">
        <f>SUMPRODUCT(T50:T64,$E$24:$E$38)</f>
        <v/>
      </c>
      <c r="X47">
        <f>SUMPRODUCT(W50:W64,$E$24:$E$38)</f>
        <v/>
      </c>
      <c r="AA47">
        <f>SUMPRODUCT(Z50:Z64,$E$24:$E$38)</f>
        <v/>
      </c>
      <c r="AD47">
        <f>SUMPRODUCT(AC50:AC64,$E$24:$E$38)</f>
        <v/>
      </c>
      <c r="AG47">
        <f>SUMPRODUCT(AF50:AF64,$E$24:$E$38)</f>
        <v/>
      </c>
      <c r="AJ47">
        <f>SUMPRODUCT(AI50:AI64,$E$24:$E$38)</f>
        <v/>
      </c>
      <c r="AM47">
        <f>SUMPRODUCT(AL50:AL64,$E$24:$E$38)</f>
        <v/>
      </c>
      <c r="AP47">
        <f>SUMPRODUCT(AO50:AO64,$E$24:$E$38)</f>
        <v/>
      </c>
      <c r="AS47">
        <f>SUMPRODUCT(AR50:AR64,$E$24:$E$38)</f>
        <v/>
      </c>
      <c r="AV47">
        <f>SUMPRODUCT(AU50:AU64,$E$24:$E$38)</f>
        <v/>
      </c>
      <c r="AY47">
        <f>SUMPRODUCT(AX50:AX64,$E$24:$E$38)</f>
        <v/>
      </c>
      <c r="BB47">
        <f>SUMPRODUCT(BA50:BA64,$E$24:$E$38)</f>
        <v/>
      </c>
      <c r="BE47">
        <f>SUMPRODUCT(BD50:BD64,$E$24:$E$38)</f>
        <v/>
      </c>
      <c r="BH47">
        <f>SUMPRODUCT(BG50:BG64,$E$24:$E$38)</f>
        <v/>
      </c>
      <c r="BK47">
        <f>SUMPRODUCT(BJ50:BJ64,$E$24:$E$38)</f>
        <v/>
      </c>
      <c r="BN47">
        <f>SUMPRODUCT(BM50:BM64,$E$24:$E$38)</f>
        <v/>
      </c>
      <c r="BQ47">
        <f>SUMPRODUCT(BP50:BP64,$E$24:$E$38)</f>
        <v/>
      </c>
      <c r="BT47">
        <f>SUMPRODUCT(BS50:BS64,$E$24:$E$38)</f>
        <v/>
      </c>
      <c r="BW47">
        <f>SUMPRODUCT(BV50:BV64,$E$24:$E$38)</f>
        <v/>
      </c>
      <c r="BZ47">
        <f>SUMPRODUCT(BY50:BY64,$E$24:$E$38)</f>
        <v/>
      </c>
      <c r="CC47">
        <f>SUMPRODUCT(CB50:CB64,$E$24:$E$38)</f>
        <v/>
      </c>
      <c r="CF47">
        <f>SUMPRODUCT(CE50:CE64,$E$24:$E$38)</f>
        <v/>
      </c>
      <c r="CI47">
        <f>SUMPRODUCT(CH50:CH64,$E$24:$E$38)</f>
        <v/>
      </c>
      <c r="CL47">
        <f>SUMPRODUCT(CK50:CK64,$E$24:$E$38)</f>
        <v/>
      </c>
      <c r="CO47">
        <f>SUMPRODUCT(CN50:CN64,$E$24:$E$38)</f>
        <v/>
      </c>
      <c r="CR47">
        <f>SUMPRODUCT(CQ50:CQ64,$E$24:$E$38)</f>
        <v/>
      </c>
      <c r="CU47">
        <f>SUMPRODUCT(CT50:CT64,$E$24:$E$38)</f>
        <v/>
      </c>
      <c r="CX47">
        <f>SUMPRODUCT(CW50:CW64,$E$24:$E$38)</f>
        <v/>
      </c>
      <c r="DA47">
        <f>SUMPRODUCT(CZ50:CZ64,$E$24:$E$38)</f>
        <v/>
      </c>
      <c r="DD47">
        <f>SUMPRODUCT(DC50:DC64,$E$24:$E$38)</f>
        <v/>
      </c>
      <c r="DG47">
        <f>SUMPRODUCT(DF50:DF64,$E$24:$E$38)</f>
        <v/>
      </c>
      <c r="DJ47">
        <f>SUMPRODUCT(DI50:DI64,$E$24:$E$38)</f>
        <v/>
      </c>
      <c r="DM47">
        <f>SUMPRODUCT(DL50:DL64,$E$24:$E$38)</f>
        <v/>
      </c>
      <c r="DP47">
        <f>SUMPRODUCT(DO50:DO64,$E$24:$E$38)</f>
        <v/>
      </c>
      <c r="DS47">
        <f>SUMPRODUCT(DR50:DR64,$E$24:$E$38)</f>
        <v/>
      </c>
      <c r="DV47">
        <f>SUMPRODUCT(DU50:DU64,$E$24:$E$38)</f>
        <v/>
      </c>
      <c r="DY47">
        <f>SUMPRODUCT(DX50:DX64,$E$24:$E$38)</f>
        <v/>
      </c>
      <c r="EB47">
        <f>SUMPRODUCT(EA50:EA64,$E$24:$E$38)</f>
        <v/>
      </c>
      <c r="EE47">
        <f>SUMPRODUCT(ED50:ED64,$E$24:$E$38)</f>
        <v/>
      </c>
      <c r="EH47">
        <f>SUMPRODUCT(EG50:EG64,$E$24:$E$38)</f>
        <v/>
      </c>
      <c r="EK47">
        <f>SUMPRODUCT(EJ50:EJ64,$E$24:$E$38)</f>
        <v/>
      </c>
      <c r="EN47">
        <f>SUMPRODUCT(EM50:EM64,$E$24:$E$38)</f>
        <v/>
      </c>
      <c r="EQ47">
        <f>SUMPRODUCT(EP50:EP64,$E$24:$E$38)</f>
        <v/>
      </c>
      <c r="ET47">
        <f>SUMPRODUCT(ES50:ES64,$E$24:$E$38)</f>
        <v/>
      </c>
      <c r="EW47">
        <f>SUMPRODUCT(EV50:EV64,$E$24:$E$38)</f>
        <v/>
      </c>
      <c r="EZ47">
        <f>SUMPRODUCT(EY50:EY64,$E$24:$E$38)</f>
        <v/>
      </c>
      <c r="FC47">
        <f>SUMPRODUCT(FB50:FB64,$E$24:$E$38)</f>
        <v/>
      </c>
      <c r="FF47">
        <f>SUMPRODUCT(FE50:FE64,$E$24:$E$38)</f>
        <v/>
      </c>
      <c r="FI47">
        <f>SUMPRODUCT(FH50:FH64,$E$24:$E$38)</f>
        <v/>
      </c>
      <c r="FL47">
        <f>SUMPRODUCT(FK50:FK64,$E$24:$E$38)</f>
        <v/>
      </c>
      <c r="FO47">
        <f>SUMPRODUCT(FN50:FN64,$E$24:$E$38)</f>
        <v/>
      </c>
      <c r="FR47">
        <f>SUMPRODUCT(FQ50:FQ64,$E$24:$E$38)</f>
        <v/>
      </c>
      <c r="FU47">
        <f>SUMPRODUCT(FT50:FT64,$E$24:$E$38)</f>
        <v/>
      </c>
      <c r="FX47">
        <f>SUMPRODUCT(FW50:FW64,$E$24:$E$38)</f>
        <v/>
      </c>
      <c r="GA47">
        <f>SUMPRODUCT(FZ50:FZ64,$E$24:$E$38)</f>
        <v/>
      </c>
      <c r="GD47">
        <f>SUMPRODUCT(GC50:GC64,$E$24:$E$38)</f>
        <v/>
      </c>
      <c r="GG47">
        <f>SUMPRODUCT(GF50:GF64,$E$24:$E$38)</f>
        <v/>
      </c>
      <c r="GJ47">
        <f>SUMPRODUCT(GI50:GI64,$E$24:$E$38)</f>
        <v/>
      </c>
      <c r="GM47">
        <f>SUMPRODUCT(GL50:GL64,$E$24:$E$38)</f>
        <v/>
      </c>
      <c r="GP47">
        <f>SUMPRODUCT(GO50:GO64,$E$24:$E$38)</f>
        <v/>
      </c>
      <c r="GS47">
        <f>SUMPRODUCT(GR50:GR64,$E$24:$E$38)</f>
        <v/>
      </c>
      <c r="GV47">
        <f>SUMPRODUCT(GU50:GU64,$E$24:$E$38)</f>
        <v/>
      </c>
      <c r="GY47">
        <f>SUMPRODUCT(GX50:GX64,$E$24:$E$38)</f>
        <v/>
      </c>
      <c r="HB47">
        <f>SUMPRODUCT(HA50:HA64,$E$24:$E$38)</f>
        <v/>
      </c>
      <c r="HE47">
        <f>SUMPRODUCT(HD50:HD64,$E$24:$E$38)</f>
        <v/>
      </c>
      <c r="HH47">
        <f>SUMPRODUCT(HG50:HG64,$E$24:$E$38)</f>
        <v/>
      </c>
      <c r="HK47">
        <f>SUMPRODUCT(HJ50:HJ64,$E$24:$E$38)</f>
        <v/>
      </c>
      <c r="HN47">
        <f>SUMPRODUCT(HM50:HM64,$E$24:$E$38)</f>
        <v/>
      </c>
      <c r="HQ47">
        <f>SUMPRODUCT(HP50:HP64,$E$24:$E$38)</f>
        <v/>
      </c>
      <c r="HT47">
        <f>SUMPRODUCT(HS50:HS64,$E$24:$E$38)</f>
        <v/>
      </c>
      <c r="HW47">
        <f>SUMPRODUCT(HV50:HV64,$E$24:$E$38)</f>
        <v/>
      </c>
      <c r="HZ47">
        <f>SUMPRODUCT(HY50:HY64,$E$24:$E$38)</f>
        <v/>
      </c>
      <c r="IC47">
        <f>SUMPRODUCT(IB50:IB64,$E$24:$E$38)</f>
        <v/>
      </c>
      <c r="IF47">
        <f>SUMPRODUCT(IE50:IE64,$E$24:$E$38)</f>
        <v/>
      </c>
      <c r="II47">
        <f>SUMPRODUCT(IH50:IH64,$E$24:$E$38)</f>
        <v/>
      </c>
      <c r="IL47">
        <f>SUMPRODUCT(IK50:IK64,$E$24:$E$38)</f>
        <v/>
      </c>
      <c r="IO47">
        <f>SUMPRODUCT(IN50:IN64,$E$24:$E$38)</f>
        <v/>
      </c>
      <c r="IR47">
        <f>SUMPRODUCT(IQ50:IQ64,$E$24:$E$38)</f>
        <v/>
      </c>
      <c r="IU47">
        <f>SUMPRODUCT(IT50:IT64,$E$24:$E$38)</f>
        <v/>
      </c>
      <c r="IX47">
        <f>SUMPRODUCT(IW50:IW64,$E$24:$E$38)</f>
        <v/>
      </c>
      <c r="JA47">
        <f>SUMPRODUCT(IZ50:IZ64,$E$24:$E$38)</f>
        <v/>
      </c>
      <c r="JD47">
        <f>SUMPRODUCT(JC50:JC64,$E$24:$E$38)</f>
        <v/>
      </c>
      <c r="JG47">
        <f>SUMPRODUCT(JF50:JF64,$E$24:$E$38)</f>
        <v/>
      </c>
      <c r="JJ47">
        <f>SUMPRODUCT(JI50:JI64,$E$24:$E$38)</f>
        <v/>
      </c>
      <c r="JM47">
        <f>SUMPRODUCT(JL50:JL64,$E$24:$E$38)</f>
        <v/>
      </c>
      <c r="JP47">
        <f>SUMPRODUCT(JO50:JO64,$E$24:$E$38)</f>
        <v/>
      </c>
      <c r="JS47">
        <f>SUMPRODUCT(JR50:JR64,$E$24:$E$38)</f>
        <v/>
      </c>
      <c r="JV47">
        <f>SUMPRODUCT(JU50:JU64,$E$24:$E$38)</f>
        <v/>
      </c>
      <c r="JY47">
        <f>SUMPRODUCT(JX50:JX64,$E$24:$E$38)</f>
        <v/>
      </c>
      <c r="KB47">
        <f>SUMPRODUCT(KA50:KA64,$E$24:$E$38)</f>
        <v/>
      </c>
      <c r="KE47">
        <f>SUMPRODUCT(KD50:KD64,$E$24:$E$38)</f>
        <v/>
      </c>
      <c r="KH47">
        <f>SUMPRODUCT(KG50:KG64,$E$24:$E$38)</f>
        <v/>
      </c>
      <c r="KK47">
        <f>SUMPRODUCT(KJ50:KJ64,$E$24:$E$38)</f>
        <v/>
      </c>
      <c r="KN47">
        <f>SUMPRODUCT(KM50:KM64,$E$24:$E$38)</f>
        <v/>
      </c>
      <c r="KQ47">
        <f>SUMPRODUCT(KP50:KP64,$E$24:$E$38)</f>
        <v/>
      </c>
      <c r="KT47">
        <f>SUMPRODUCT(KS50:KS64,$E$24:$E$38)</f>
        <v/>
      </c>
      <c r="KW47">
        <f>SUMPRODUCT(KV50:KV64,$E$24:$E$38)</f>
        <v/>
      </c>
      <c r="KZ47">
        <f>SUMPRODUCT(KY50:KY64,$E$24:$E$38)</f>
        <v/>
      </c>
      <c r="LC47">
        <f>SUMPRODUCT(LB50:LB64,$E$24:$E$38)</f>
        <v/>
      </c>
      <c r="LF47">
        <f>SUMPRODUCT(LE50:LE64,$E$24:$E$38)</f>
        <v/>
      </c>
      <c r="LI47">
        <f>SUMPRODUCT(LH50:LH64,$E$24:$E$38)</f>
        <v/>
      </c>
      <c r="LL47">
        <f>SUMPRODUCT(LK50:LK64,$E$24:$E$38)</f>
        <v/>
      </c>
      <c r="LO47">
        <f>SUMPRODUCT(LN50:LN64,$E$24:$E$38)</f>
        <v/>
      </c>
      <c r="LR47">
        <f>SUMPRODUCT(LQ50:LQ64,$E$24:$E$38)</f>
        <v/>
      </c>
      <c r="LU47">
        <f>SUMPRODUCT(LT50:LT64,$E$24:$E$38)</f>
        <v/>
      </c>
      <c r="LX47">
        <f>SUMPRODUCT(LW50:LW64,$E$24:$E$38)</f>
        <v/>
      </c>
      <c r="MA47">
        <f>SUMPRODUCT(LZ50:LZ64,$E$24:$E$38)</f>
        <v/>
      </c>
      <c r="MD47">
        <f>SUMPRODUCT(MC50:MC64,$E$24:$E$38)</f>
        <v/>
      </c>
      <c r="MG47">
        <f>SUMPRODUCT(MF50:MF64,$E$24:$E$38)</f>
        <v/>
      </c>
      <c r="MJ47">
        <f>SUMPRODUCT(MI50:MI64,$E$24:$E$38)</f>
        <v/>
      </c>
      <c r="MM47">
        <f>SUMPRODUCT(ML50:ML64,$E$24:$E$38)</f>
        <v/>
      </c>
      <c r="MP47">
        <f>SUMPRODUCT(MO50:MO64,$E$24:$E$38)</f>
        <v/>
      </c>
      <c r="MS47">
        <f>SUMPRODUCT(MR50:MR64,$E$24:$E$38)</f>
        <v/>
      </c>
      <c r="MV47">
        <f>SUMPRODUCT(MU50:MU64,$E$24:$E$38)</f>
        <v/>
      </c>
    </row>
    <row r="48">
      <c r="A48" t="inlineStr">
        <is>
          <t>total closing</t>
        </is>
      </c>
      <c r="E48">
        <f>SUM(E50:E64)</f>
        <v/>
      </c>
      <c r="H48">
        <f>SUM(H50:H64)</f>
        <v/>
      </c>
      <c r="K48">
        <f>SUM(K50:K64)</f>
        <v/>
      </c>
      <c r="N48">
        <f>SUM(N50:N64)</f>
        <v/>
      </c>
      <c r="Q48">
        <f>SUM(Q50:Q64)</f>
        <v/>
      </c>
      <c r="T48">
        <f>SUM(T50:T64)</f>
        <v/>
      </c>
      <c r="W48">
        <f>SUM(W50:W64)</f>
        <v/>
      </c>
      <c r="Z48">
        <f>SUM(Z50:Z64)</f>
        <v/>
      </c>
      <c r="AC48">
        <f>SUM(AC50:AC64)</f>
        <v/>
      </c>
      <c r="AF48">
        <f>SUM(AF50:AF64)</f>
        <v/>
      </c>
      <c r="AI48">
        <f>SUM(AI50:AI64)</f>
        <v/>
      </c>
      <c r="AL48">
        <f>SUM(AL50:AL64)</f>
        <v/>
      </c>
      <c r="AO48">
        <f>SUM(AO50:AO64)</f>
        <v/>
      </c>
      <c r="AR48">
        <f>SUM(AR50:AR64)</f>
        <v/>
      </c>
      <c r="AU48">
        <f>SUM(AU50:AU64)</f>
        <v/>
      </c>
      <c r="AX48">
        <f>SUM(AX50:AX64)</f>
        <v/>
      </c>
      <c r="BA48">
        <f>SUM(BA50:BA64)</f>
        <v/>
      </c>
      <c r="BD48">
        <f>SUM(BD50:BD64)</f>
        <v/>
      </c>
      <c r="BG48">
        <f>SUM(BG50:BG64)</f>
        <v/>
      </c>
      <c r="BJ48">
        <f>SUM(BJ50:BJ64)</f>
        <v/>
      </c>
      <c r="BM48">
        <f>SUM(BM50:BM64)</f>
        <v/>
      </c>
      <c r="BP48">
        <f>SUM(BP50:BP64)</f>
        <v/>
      </c>
      <c r="BS48">
        <f>SUM(BS50:BS64)</f>
        <v/>
      </c>
      <c r="BV48">
        <f>SUM(BV50:BV64)</f>
        <v/>
      </c>
      <c r="BY48">
        <f>SUM(BY50:BY64)</f>
        <v/>
      </c>
      <c r="CB48">
        <f>SUM(CB50:CB64)</f>
        <v/>
      </c>
      <c r="CE48">
        <f>SUM(CE50:CE64)</f>
        <v/>
      </c>
      <c r="CH48">
        <f>SUM(CH50:CH64)</f>
        <v/>
      </c>
      <c r="CK48">
        <f>SUM(CK50:CK64)</f>
        <v/>
      </c>
      <c r="CN48">
        <f>SUM(CN50:CN64)</f>
        <v/>
      </c>
      <c r="CQ48">
        <f>SUM(CQ50:CQ64)</f>
        <v/>
      </c>
      <c r="CT48">
        <f>SUM(CT50:CT64)</f>
        <v/>
      </c>
      <c r="CW48">
        <f>SUM(CW50:CW64)</f>
        <v/>
      </c>
      <c r="CZ48">
        <f>SUM(CZ50:CZ64)</f>
        <v/>
      </c>
      <c r="DC48">
        <f>SUM(DC50:DC64)</f>
        <v/>
      </c>
      <c r="DF48">
        <f>SUM(DF50:DF64)</f>
        <v/>
      </c>
      <c r="DI48">
        <f>SUM(DI50:DI64)</f>
        <v/>
      </c>
      <c r="DL48">
        <f>SUM(DL50:DL64)</f>
        <v/>
      </c>
      <c r="DO48">
        <f>SUM(DO50:DO64)</f>
        <v/>
      </c>
      <c r="DR48">
        <f>SUM(DR50:DR64)</f>
        <v/>
      </c>
      <c r="DU48">
        <f>SUM(DU50:DU64)</f>
        <v/>
      </c>
      <c r="DX48">
        <f>SUM(DX50:DX64)</f>
        <v/>
      </c>
      <c r="EA48">
        <f>SUM(EA50:EA64)</f>
        <v/>
      </c>
      <c r="ED48">
        <f>SUM(ED50:ED64)</f>
        <v/>
      </c>
      <c r="EG48">
        <f>SUM(EG50:EG64)</f>
        <v/>
      </c>
      <c r="EJ48">
        <f>SUM(EJ50:EJ64)</f>
        <v/>
      </c>
      <c r="EM48">
        <f>SUM(EM50:EM64)</f>
        <v/>
      </c>
      <c r="EP48">
        <f>SUM(EP50:EP64)</f>
        <v/>
      </c>
      <c r="ES48">
        <f>SUM(ES50:ES64)</f>
        <v/>
      </c>
      <c r="EV48">
        <f>SUM(EV50:EV64)</f>
        <v/>
      </c>
      <c r="EY48">
        <f>SUM(EY50:EY64)</f>
        <v/>
      </c>
      <c r="FB48">
        <f>SUM(FB50:FB64)</f>
        <v/>
      </c>
      <c r="FE48">
        <f>SUM(FE50:FE64)</f>
        <v/>
      </c>
      <c r="FH48">
        <f>SUM(FH50:FH64)</f>
        <v/>
      </c>
      <c r="FK48">
        <f>SUM(FK50:FK64)</f>
        <v/>
      </c>
      <c r="FN48">
        <f>SUM(FN50:FN64)</f>
        <v/>
      </c>
      <c r="FQ48">
        <f>SUM(FQ50:FQ64)</f>
        <v/>
      </c>
      <c r="FT48">
        <f>SUM(FT50:FT64)</f>
        <v/>
      </c>
      <c r="FW48">
        <f>SUM(FW50:FW64)</f>
        <v/>
      </c>
      <c r="FZ48">
        <f>SUM(FZ50:FZ64)</f>
        <v/>
      </c>
      <c r="GC48">
        <f>SUM(GC50:GC64)</f>
        <v/>
      </c>
      <c r="GF48">
        <f>SUM(GF50:GF64)</f>
        <v/>
      </c>
      <c r="GI48">
        <f>SUM(GI50:GI64)</f>
        <v/>
      </c>
      <c r="GL48">
        <f>SUM(GL50:GL64)</f>
        <v/>
      </c>
      <c r="GO48">
        <f>SUM(GO50:GO64)</f>
        <v/>
      </c>
      <c r="GR48">
        <f>SUM(GR50:GR64)</f>
        <v/>
      </c>
      <c r="GU48">
        <f>SUM(GU50:GU64)</f>
        <v/>
      </c>
      <c r="GX48">
        <f>SUM(GX50:GX64)</f>
        <v/>
      </c>
      <c r="HA48">
        <f>SUM(HA50:HA64)</f>
        <v/>
      </c>
      <c r="HD48">
        <f>SUM(HD50:HD64)</f>
        <v/>
      </c>
      <c r="HG48">
        <f>SUM(HG50:HG64)</f>
        <v/>
      </c>
      <c r="HJ48">
        <f>SUM(HJ50:HJ64)</f>
        <v/>
      </c>
      <c r="HM48">
        <f>SUM(HM50:HM64)</f>
        <v/>
      </c>
      <c r="HP48">
        <f>SUM(HP50:HP64)</f>
        <v/>
      </c>
      <c r="HS48">
        <f>SUM(HS50:HS64)</f>
        <v/>
      </c>
      <c r="HV48">
        <f>SUM(HV50:HV64)</f>
        <v/>
      </c>
      <c r="HY48">
        <f>SUM(HY50:HY64)</f>
        <v/>
      </c>
      <c r="IB48">
        <f>SUM(IB50:IB64)</f>
        <v/>
      </c>
      <c r="IE48">
        <f>SUM(IE50:IE64)</f>
        <v/>
      </c>
      <c r="IH48">
        <f>SUM(IH50:IH64)</f>
        <v/>
      </c>
      <c r="IK48">
        <f>SUM(IK50:IK64)</f>
        <v/>
      </c>
      <c r="IN48">
        <f>SUM(IN50:IN64)</f>
        <v/>
      </c>
      <c r="IQ48">
        <f>SUM(IQ50:IQ64)</f>
        <v/>
      </c>
      <c r="IT48">
        <f>SUM(IT50:IT64)</f>
        <v/>
      </c>
      <c r="IW48">
        <f>SUM(IW50:IW64)</f>
        <v/>
      </c>
      <c r="IZ48">
        <f>SUM(IZ50:IZ64)</f>
        <v/>
      </c>
      <c r="JC48">
        <f>SUM(JC50:JC64)</f>
        <v/>
      </c>
      <c r="JF48">
        <f>SUM(JF50:JF64)</f>
        <v/>
      </c>
      <c r="JI48">
        <f>SUM(JI50:JI64)</f>
        <v/>
      </c>
      <c r="JL48">
        <f>SUM(JL50:JL64)</f>
        <v/>
      </c>
      <c r="JO48">
        <f>SUM(JO50:JO64)</f>
        <v/>
      </c>
      <c r="JR48">
        <f>SUM(JR50:JR64)</f>
        <v/>
      </c>
      <c r="JU48">
        <f>SUM(JU50:JU64)</f>
        <v/>
      </c>
      <c r="JX48">
        <f>SUM(JX50:JX64)</f>
        <v/>
      </c>
      <c r="KA48">
        <f>SUM(KA50:KA64)</f>
        <v/>
      </c>
      <c r="KD48">
        <f>SUM(KD50:KD64)</f>
        <v/>
      </c>
      <c r="KG48">
        <f>SUM(KG50:KG64)</f>
        <v/>
      </c>
      <c r="KJ48">
        <f>SUM(KJ50:KJ64)</f>
        <v/>
      </c>
      <c r="KM48">
        <f>SUM(KM50:KM64)</f>
        <v/>
      </c>
      <c r="KP48">
        <f>SUM(KP50:KP64)</f>
        <v/>
      </c>
      <c r="KS48">
        <f>SUM(KS50:KS64)</f>
        <v/>
      </c>
      <c r="KV48">
        <f>SUM(KV50:KV64)</f>
        <v/>
      </c>
      <c r="KY48">
        <f>SUM(KY50:KY64)</f>
        <v/>
      </c>
      <c r="LB48">
        <f>SUM(LB50:LB64)</f>
        <v/>
      </c>
      <c r="LE48">
        <f>SUM(LE50:LE64)</f>
        <v/>
      </c>
      <c r="LH48">
        <f>SUM(LH50:LH64)</f>
        <v/>
      </c>
      <c r="LK48">
        <f>SUM(LK50:LK64)</f>
        <v/>
      </c>
      <c r="LN48">
        <f>SUM(LN50:LN64)</f>
        <v/>
      </c>
      <c r="LQ48">
        <f>SUM(LQ50:LQ64)</f>
        <v/>
      </c>
      <c r="LT48">
        <f>SUM(LT50:LT64)</f>
        <v/>
      </c>
      <c r="LW48">
        <f>SUM(LW50:LW64)</f>
        <v/>
      </c>
      <c r="LZ48">
        <f>SUM(LZ50:LZ64)</f>
        <v/>
      </c>
      <c r="MC48">
        <f>SUM(MC50:MC64)</f>
        <v/>
      </c>
      <c r="MF48">
        <f>SUM(MF50:MF64)</f>
        <v/>
      </c>
      <c r="MI48">
        <f>SUM(MI50:MI64)</f>
        <v/>
      </c>
      <c r="ML48">
        <f>SUM(ML50:ML64)</f>
        <v/>
      </c>
      <c r="MO48">
        <f>SUM(MO50:MO64)</f>
        <v/>
      </c>
      <c r="MR48">
        <f>SUM(MR50:MR64)</f>
        <v/>
      </c>
      <c r="MU48">
        <f>SUM(MU50:MU64)</f>
        <v/>
      </c>
      <c r="MX48">
        <f>SUM(MX50:MX64)</f>
        <v/>
      </c>
    </row>
    <row r="49">
      <c r="A49" t="inlineStr">
        <is>
          <t>extra (remaining chain)</t>
        </is>
      </c>
      <c r="D49">
        <f>MAX(0,Start!$D$9-C46)</f>
        <v/>
      </c>
      <c r="G49">
        <f>MAX(0,Start!$D$9-F46)</f>
        <v/>
      </c>
      <c r="J49">
        <f>MAX(0,Start!$D$9-I46)</f>
        <v/>
      </c>
      <c r="M49">
        <f>MAX(0,Start!$D$9-L46)</f>
        <v/>
      </c>
      <c r="P49">
        <f>MAX(0,Start!$D$9-O46)</f>
        <v/>
      </c>
      <c r="S49">
        <f>MAX(0,Start!$D$9-R46)</f>
        <v/>
      </c>
      <c r="V49">
        <f>MAX(0,Start!$D$9-U46)</f>
        <v/>
      </c>
      <c r="Y49">
        <f>MAX(0,Start!$D$9-X46)</f>
        <v/>
      </c>
      <c r="AB49">
        <f>MAX(0,Start!$D$9-AA46)</f>
        <v/>
      </c>
      <c r="AE49">
        <f>MAX(0,Start!$D$9-AD46)</f>
        <v/>
      </c>
      <c r="AH49">
        <f>MAX(0,Start!$D$9-AG46)</f>
        <v/>
      </c>
      <c r="AK49">
        <f>MAX(0,Start!$D$9-AJ46)</f>
        <v/>
      </c>
      <c r="AN49">
        <f>MAX(0,Start!$D$9-AM46)</f>
        <v/>
      </c>
      <c r="AQ49">
        <f>MAX(0,Start!$D$9-AP46)</f>
        <v/>
      </c>
      <c r="AT49">
        <f>MAX(0,Start!$D$9-AS46)</f>
        <v/>
      </c>
      <c r="AW49">
        <f>MAX(0,Start!$D$9-AV46)</f>
        <v/>
      </c>
      <c r="AZ49">
        <f>MAX(0,Start!$D$9-AY46)</f>
        <v/>
      </c>
      <c r="BC49">
        <f>MAX(0,Start!$D$9-BB46)</f>
        <v/>
      </c>
      <c r="BF49">
        <f>MAX(0,Start!$D$9-BE46)</f>
        <v/>
      </c>
      <c r="BI49">
        <f>MAX(0,Start!$D$9-BH46)</f>
        <v/>
      </c>
      <c r="BL49">
        <f>MAX(0,Start!$D$9-BK46)</f>
        <v/>
      </c>
      <c r="BO49">
        <f>MAX(0,Start!$D$9-BN46)</f>
        <v/>
      </c>
      <c r="BR49">
        <f>MAX(0,Start!$D$9-BQ46)</f>
        <v/>
      </c>
      <c r="BU49">
        <f>MAX(0,Start!$D$9-BT46)</f>
        <v/>
      </c>
      <c r="BX49">
        <f>MAX(0,Start!$D$9-BW46)</f>
        <v/>
      </c>
      <c r="CA49">
        <f>MAX(0,Start!$D$9-BZ46)</f>
        <v/>
      </c>
      <c r="CD49">
        <f>MAX(0,Start!$D$9-CC46)</f>
        <v/>
      </c>
      <c r="CG49">
        <f>MAX(0,Start!$D$9-CF46)</f>
        <v/>
      </c>
      <c r="CJ49">
        <f>MAX(0,Start!$D$9-CI46)</f>
        <v/>
      </c>
      <c r="CM49">
        <f>MAX(0,Start!$D$9-CL46)</f>
        <v/>
      </c>
      <c r="CP49">
        <f>MAX(0,Start!$D$9-CO46)</f>
        <v/>
      </c>
      <c r="CS49">
        <f>MAX(0,Start!$D$9-CR46)</f>
        <v/>
      </c>
      <c r="CV49">
        <f>MAX(0,Start!$D$9-CU46)</f>
        <v/>
      </c>
      <c r="CY49">
        <f>MAX(0,Start!$D$9-CX46)</f>
        <v/>
      </c>
      <c r="DB49">
        <f>MAX(0,Start!$D$9-DA46)</f>
        <v/>
      </c>
      <c r="DE49">
        <f>MAX(0,Start!$D$9-DD46)</f>
        <v/>
      </c>
      <c r="DH49">
        <f>MAX(0,Start!$D$9-DG46)</f>
        <v/>
      </c>
      <c r="DK49">
        <f>MAX(0,Start!$D$9-DJ46)</f>
        <v/>
      </c>
      <c r="DN49">
        <f>MAX(0,Start!$D$9-DM46)</f>
        <v/>
      </c>
      <c r="DQ49">
        <f>MAX(0,Start!$D$9-DP46)</f>
        <v/>
      </c>
      <c r="DT49">
        <f>MAX(0,Start!$D$9-DS46)</f>
        <v/>
      </c>
      <c r="DW49">
        <f>MAX(0,Start!$D$9-DV46)</f>
        <v/>
      </c>
      <c r="DZ49">
        <f>MAX(0,Start!$D$9-DY46)</f>
        <v/>
      </c>
      <c r="EC49">
        <f>MAX(0,Start!$D$9-EB46)</f>
        <v/>
      </c>
      <c r="EF49">
        <f>MAX(0,Start!$D$9-EE46)</f>
        <v/>
      </c>
      <c r="EI49">
        <f>MAX(0,Start!$D$9-EH46)</f>
        <v/>
      </c>
      <c r="EL49">
        <f>MAX(0,Start!$D$9-EK46)</f>
        <v/>
      </c>
      <c r="EO49">
        <f>MAX(0,Start!$D$9-EN46)</f>
        <v/>
      </c>
      <c r="ER49">
        <f>MAX(0,Start!$D$9-EQ46)</f>
        <v/>
      </c>
      <c r="EU49">
        <f>MAX(0,Start!$D$9-ET46)</f>
        <v/>
      </c>
      <c r="EX49">
        <f>MAX(0,Start!$D$9-EW46)</f>
        <v/>
      </c>
      <c r="FA49">
        <f>MAX(0,Start!$D$9-EZ46)</f>
        <v/>
      </c>
      <c r="FD49">
        <f>MAX(0,Start!$D$9-FC46)</f>
        <v/>
      </c>
      <c r="FG49">
        <f>MAX(0,Start!$D$9-FF46)</f>
        <v/>
      </c>
      <c r="FJ49">
        <f>MAX(0,Start!$D$9-FI46)</f>
        <v/>
      </c>
      <c r="FM49">
        <f>MAX(0,Start!$D$9-FL46)</f>
        <v/>
      </c>
      <c r="FP49">
        <f>MAX(0,Start!$D$9-FO46)</f>
        <v/>
      </c>
      <c r="FS49">
        <f>MAX(0,Start!$D$9-FR46)</f>
        <v/>
      </c>
      <c r="FV49">
        <f>MAX(0,Start!$D$9-FU46)</f>
        <v/>
      </c>
      <c r="FY49">
        <f>MAX(0,Start!$D$9-FX46)</f>
        <v/>
      </c>
      <c r="GB49">
        <f>MAX(0,Start!$D$9-GA46)</f>
        <v/>
      </c>
      <c r="GE49">
        <f>MAX(0,Start!$D$9-GD46)</f>
        <v/>
      </c>
      <c r="GH49">
        <f>MAX(0,Start!$D$9-GG46)</f>
        <v/>
      </c>
      <c r="GK49">
        <f>MAX(0,Start!$D$9-GJ46)</f>
        <v/>
      </c>
      <c r="GN49">
        <f>MAX(0,Start!$D$9-GM46)</f>
        <v/>
      </c>
      <c r="GQ49">
        <f>MAX(0,Start!$D$9-GP46)</f>
        <v/>
      </c>
      <c r="GT49">
        <f>MAX(0,Start!$D$9-GS46)</f>
        <v/>
      </c>
      <c r="GW49">
        <f>MAX(0,Start!$D$9-GV46)</f>
        <v/>
      </c>
      <c r="GZ49">
        <f>MAX(0,Start!$D$9-GY46)</f>
        <v/>
      </c>
      <c r="HC49">
        <f>MAX(0,Start!$D$9-HB46)</f>
        <v/>
      </c>
      <c r="HF49">
        <f>MAX(0,Start!$D$9-HE46)</f>
        <v/>
      </c>
      <c r="HI49">
        <f>MAX(0,Start!$D$9-HH46)</f>
        <v/>
      </c>
      <c r="HL49">
        <f>MAX(0,Start!$D$9-HK46)</f>
        <v/>
      </c>
      <c r="HO49">
        <f>MAX(0,Start!$D$9-HN46)</f>
        <v/>
      </c>
      <c r="HR49">
        <f>MAX(0,Start!$D$9-HQ46)</f>
        <v/>
      </c>
      <c r="HU49">
        <f>MAX(0,Start!$D$9-HT46)</f>
        <v/>
      </c>
      <c r="HX49">
        <f>MAX(0,Start!$D$9-HW46)</f>
        <v/>
      </c>
      <c r="IA49">
        <f>MAX(0,Start!$D$9-HZ46)</f>
        <v/>
      </c>
      <c r="ID49">
        <f>MAX(0,Start!$D$9-IC46)</f>
        <v/>
      </c>
      <c r="IG49">
        <f>MAX(0,Start!$D$9-IF46)</f>
        <v/>
      </c>
      <c r="IJ49">
        <f>MAX(0,Start!$D$9-II46)</f>
        <v/>
      </c>
      <c r="IM49">
        <f>MAX(0,Start!$D$9-IL46)</f>
        <v/>
      </c>
      <c r="IP49">
        <f>MAX(0,Start!$D$9-IO46)</f>
        <v/>
      </c>
      <c r="IS49">
        <f>MAX(0,Start!$D$9-IR46)</f>
        <v/>
      </c>
      <c r="IV49">
        <f>MAX(0,Start!$D$9-IU46)</f>
        <v/>
      </c>
      <c r="IY49">
        <f>MAX(0,Start!$D$9-IX46)</f>
        <v/>
      </c>
      <c r="JB49">
        <f>MAX(0,Start!$D$9-JA46)</f>
        <v/>
      </c>
      <c r="JE49">
        <f>MAX(0,Start!$D$9-JD46)</f>
        <v/>
      </c>
      <c r="JH49">
        <f>MAX(0,Start!$D$9-JG46)</f>
        <v/>
      </c>
      <c r="JK49">
        <f>MAX(0,Start!$D$9-JJ46)</f>
        <v/>
      </c>
      <c r="JN49">
        <f>MAX(0,Start!$D$9-JM46)</f>
        <v/>
      </c>
      <c r="JQ49">
        <f>MAX(0,Start!$D$9-JP46)</f>
        <v/>
      </c>
      <c r="JT49">
        <f>MAX(0,Start!$D$9-JS46)</f>
        <v/>
      </c>
      <c r="JW49">
        <f>MAX(0,Start!$D$9-JV46)</f>
        <v/>
      </c>
      <c r="JZ49">
        <f>MAX(0,Start!$D$9-JY46)</f>
        <v/>
      </c>
      <c r="KC49">
        <f>MAX(0,Start!$D$9-KB46)</f>
        <v/>
      </c>
      <c r="KF49">
        <f>MAX(0,Start!$D$9-KE46)</f>
        <v/>
      </c>
      <c r="KI49">
        <f>MAX(0,Start!$D$9-KH46)</f>
        <v/>
      </c>
      <c r="KL49">
        <f>MAX(0,Start!$D$9-KK46)</f>
        <v/>
      </c>
      <c r="KO49">
        <f>MAX(0,Start!$D$9-KN46)</f>
        <v/>
      </c>
      <c r="KR49">
        <f>MAX(0,Start!$D$9-KQ46)</f>
        <v/>
      </c>
      <c r="KU49">
        <f>MAX(0,Start!$D$9-KT46)</f>
        <v/>
      </c>
      <c r="KX49">
        <f>MAX(0,Start!$D$9-KW46)</f>
        <v/>
      </c>
      <c r="LA49">
        <f>MAX(0,Start!$D$9-KZ46)</f>
        <v/>
      </c>
      <c r="LD49">
        <f>MAX(0,Start!$D$9-LC46)</f>
        <v/>
      </c>
      <c r="LG49">
        <f>MAX(0,Start!$D$9-LF46)</f>
        <v/>
      </c>
      <c r="LJ49">
        <f>MAX(0,Start!$D$9-LI46)</f>
        <v/>
      </c>
      <c r="LM49">
        <f>MAX(0,Start!$D$9-LL46)</f>
        <v/>
      </c>
      <c r="LP49">
        <f>MAX(0,Start!$D$9-LO46)</f>
        <v/>
      </c>
      <c r="LS49">
        <f>MAX(0,Start!$D$9-LR46)</f>
        <v/>
      </c>
      <c r="LV49">
        <f>MAX(0,Start!$D$9-LU46)</f>
        <v/>
      </c>
      <c r="LY49">
        <f>MAX(0,Start!$D$9-LX46)</f>
        <v/>
      </c>
      <c r="MB49">
        <f>MAX(0,Start!$D$9-MA46)</f>
        <v/>
      </c>
      <c r="ME49">
        <f>MAX(0,Start!$D$9-MD46)</f>
        <v/>
      </c>
      <c r="MH49">
        <f>MAX(0,Start!$D$9-MG46)</f>
        <v/>
      </c>
      <c r="MK49">
        <f>MAX(0,Start!$D$9-MJ46)</f>
        <v/>
      </c>
      <c r="MN49">
        <f>MAX(0,Start!$D$9-MM46)</f>
        <v/>
      </c>
      <c r="MQ49">
        <f>MAX(0,Start!$D$9-MP46)</f>
        <v/>
      </c>
      <c r="MT49">
        <f>MAX(0,Start!$D$9-MS46)</f>
        <v/>
      </c>
      <c r="MW49">
        <f>MAX(0,Start!$D$9-MV46)</f>
        <v/>
      </c>
    </row>
    <row r="50">
      <c r="A50" t="inlineStr">
        <is>
          <t>slot 1</t>
        </is>
      </c>
      <c r="B50">
        <f>D24</f>
        <v/>
      </c>
      <c r="C50">
        <f>MAX(0,B50*(1+$E$24)-$F$24)</f>
        <v/>
      </c>
      <c r="D50">
        <f>D49-MIN(D49,C50)</f>
        <v/>
      </c>
      <c r="E50">
        <f>C50-(D49-D50)</f>
        <v/>
      </c>
      <c r="F50">
        <f>MAX(0,E50*(1+$E$24)-$F$24)</f>
        <v/>
      </c>
      <c r="G50">
        <f>G49-MIN(G49,F50)</f>
        <v/>
      </c>
      <c r="H50">
        <f>F50-(G49-G50)</f>
        <v/>
      </c>
      <c r="I50">
        <f>MAX(0,H50*(1+$E$24)-$F$24)</f>
        <v/>
      </c>
      <c r="J50">
        <f>J49-MIN(J49,I50)</f>
        <v/>
      </c>
      <c r="K50">
        <f>I50-(J49-J50)</f>
        <v/>
      </c>
      <c r="L50">
        <f>MAX(0,K50*(1+$E$24)-$F$24)</f>
        <v/>
      </c>
      <c r="M50">
        <f>M49-MIN(M49,L50)</f>
        <v/>
      </c>
      <c r="N50">
        <f>L50-(M49-M50)</f>
        <v/>
      </c>
      <c r="O50">
        <f>MAX(0,N50*(1+$E$24)-$F$24)</f>
        <v/>
      </c>
      <c r="P50">
        <f>P49-MIN(P49,O50)</f>
        <v/>
      </c>
      <c r="Q50">
        <f>O50-(P49-P50)</f>
        <v/>
      </c>
      <c r="R50">
        <f>MAX(0,Q50*(1+$E$24)-$F$24)</f>
        <v/>
      </c>
      <c r="S50">
        <f>S49-MIN(S49,R50)</f>
        <v/>
      </c>
      <c r="T50">
        <f>R50-(S49-S50)</f>
        <v/>
      </c>
      <c r="U50">
        <f>MAX(0,T50*(1+$E$24)-$F$24)</f>
        <v/>
      </c>
      <c r="V50">
        <f>V49-MIN(V49,U50)</f>
        <v/>
      </c>
      <c r="W50">
        <f>U50-(V49-V50)</f>
        <v/>
      </c>
      <c r="X50">
        <f>MAX(0,W50*(1+$E$24)-$F$24)</f>
        <v/>
      </c>
      <c r="Y50">
        <f>Y49-MIN(Y49,X50)</f>
        <v/>
      </c>
      <c r="Z50">
        <f>X50-(Y49-Y50)</f>
        <v/>
      </c>
      <c r="AA50">
        <f>MAX(0,Z50*(1+$E$24)-$F$24)</f>
        <v/>
      </c>
      <c r="AB50">
        <f>AB49-MIN(AB49,AA50)</f>
        <v/>
      </c>
      <c r="AC50">
        <f>AA50-(AB49-AB50)</f>
        <v/>
      </c>
      <c r="AD50">
        <f>MAX(0,AC50*(1+$E$24)-$F$24)</f>
        <v/>
      </c>
      <c r="AE50">
        <f>AE49-MIN(AE49,AD50)</f>
        <v/>
      </c>
      <c r="AF50">
        <f>AD50-(AE49-AE50)</f>
        <v/>
      </c>
      <c r="AG50">
        <f>MAX(0,AF50*(1+$E$24)-$F$24)</f>
        <v/>
      </c>
      <c r="AH50">
        <f>AH49-MIN(AH49,AG50)</f>
        <v/>
      </c>
      <c r="AI50">
        <f>AG50-(AH49-AH50)</f>
        <v/>
      </c>
      <c r="AJ50">
        <f>MAX(0,AI50*(1+$E$24)-$F$24)</f>
        <v/>
      </c>
      <c r="AK50">
        <f>AK49-MIN(AK49,AJ50)</f>
        <v/>
      </c>
      <c r="AL50">
        <f>AJ50-(AK49-AK50)</f>
        <v/>
      </c>
      <c r="AM50">
        <f>MAX(0,AL50*(1+$E$24)-$F$24)</f>
        <v/>
      </c>
      <c r="AN50">
        <f>AN49-MIN(AN49,AM50)</f>
        <v/>
      </c>
      <c r="AO50">
        <f>AM50-(AN49-AN50)</f>
        <v/>
      </c>
      <c r="AP50">
        <f>MAX(0,AO50*(1+$E$24)-$F$24)</f>
        <v/>
      </c>
      <c r="AQ50">
        <f>AQ49-MIN(AQ49,AP50)</f>
        <v/>
      </c>
      <c r="AR50">
        <f>AP50-(AQ49-AQ50)</f>
        <v/>
      </c>
      <c r="AS50">
        <f>MAX(0,AR50*(1+$E$24)-$F$24)</f>
        <v/>
      </c>
      <c r="AT50">
        <f>AT49-MIN(AT49,AS50)</f>
        <v/>
      </c>
      <c r="AU50">
        <f>AS50-(AT49-AT50)</f>
        <v/>
      </c>
      <c r="AV50">
        <f>MAX(0,AU50*(1+$E$24)-$F$24)</f>
        <v/>
      </c>
      <c r="AW50">
        <f>AW49-MIN(AW49,AV50)</f>
        <v/>
      </c>
      <c r="AX50">
        <f>AV50-(AW49-AW50)</f>
        <v/>
      </c>
      <c r="AY50">
        <f>MAX(0,AX50*(1+$E$24)-$F$24)</f>
        <v/>
      </c>
      <c r="AZ50">
        <f>AZ49-MIN(AZ49,AY50)</f>
        <v/>
      </c>
      <c r="BA50">
        <f>AY50-(AZ49-AZ50)</f>
        <v/>
      </c>
      <c r="BB50">
        <f>MAX(0,BA50*(1+$E$24)-$F$24)</f>
        <v/>
      </c>
      <c r="BC50">
        <f>BC49-MIN(BC49,BB50)</f>
        <v/>
      </c>
      <c r="BD50">
        <f>BB50-(BC49-BC50)</f>
        <v/>
      </c>
      <c r="BE50">
        <f>MAX(0,BD50*(1+$E$24)-$F$24)</f>
        <v/>
      </c>
      <c r="BF50">
        <f>BF49-MIN(BF49,BE50)</f>
        <v/>
      </c>
      <c r="BG50">
        <f>BE50-(BF49-BF50)</f>
        <v/>
      </c>
      <c r="BH50">
        <f>MAX(0,BG50*(1+$E$24)-$F$24)</f>
        <v/>
      </c>
      <c r="BI50">
        <f>BI49-MIN(BI49,BH50)</f>
        <v/>
      </c>
      <c r="BJ50">
        <f>BH50-(BI49-BI50)</f>
        <v/>
      </c>
      <c r="BK50">
        <f>MAX(0,BJ50*(1+$E$24)-$F$24)</f>
        <v/>
      </c>
      <c r="BL50">
        <f>BL49-MIN(BL49,BK50)</f>
        <v/>
      </c>
      <c r="BM50">
        <f>BK50-(BL49-BL50)</f>
        <v/>
      </c>
      <c r="BN50">
        <f>MAX(0,BM50*(1+$E$24)-$F$24)</f>
        <v/>
      </c>
      <c r="BO50">
        <f>BO49-MIN(BO49,BN50)</f>
        <v/>
      </c>
      <c r="BP50">
        <f>BN50-(BO49-BO50)</f>
        <v/>
      </c>
      <c r="BQ50">
        <f>MAX(0,BP50*(1+$E$24)-$F$24)</f>
        <v/>
      </c>
      <c r="BR50">
        <f>BR49-MIN(BR49,BQ50)</f>
        <v/>
      </c>
      <c r="BS50">
        <f>BQ50-(BR49-BR50)</f>
        <v/>
      </c>
      <c r="BT50">
        <f>MAX(0,BS50*(1+$E$24)-$F$24)</f>
        <v/>
      </c>
      <c r="BU50">
        <f>BU49-MIN(BU49,BT50)</f>
        <v/>
      </c>
      <c r="BV50">
        <f>BT50-(BU49-BU50)</f>
        <v/>
      </c>
      <c r="BW50">
        <f>MAX(0,BV50*(1+$E$24)-$F$24)</f>
        <v/>
      </c>
      <c r="BX50">
        <f>BX49-MIN(BX49,BW50)</f>
        <v/>
      </c>
      <c r="BY50">
        <f>BW50-(BX49-BX50)</f>
        <v/>
      </c>
      <c r="BZ50">
        <f>MAX(0,BY50*(1+$E$24)-$F$24)</f>
        <v/>
      </c>
      <c r="CA50">
        <f>CA49-MIN(CA49,BZ50)</f>
        <v/>
      </c>
      <c r="CB50">
        <f>BZ50-(CA49-CA50)</f>
        <v/>
      </c>
      <c r="CC50">
        <f>MAX(0,CB50*(1+$E$24)-$F$24)</f>
        <v/>
      </c>
      <c r="CD50">
        <f>CD49-MIN(CD49,CC50)</f>
        <v/>
      </c>
      <c r="CE50">
        <f>CC50-(CD49-CD50)</f>
        <v/>
      </c>
      <c r="CF50">
        <f>MAX(0,CE50*(1+$E$24)-$F$24)</f>
        <v/>
      </c>
      <c r="CG50">
        <f>CG49-MIN(CG49,CF50)</f>
        <v/>
      </c>
      <c r="CH50">
        <f>CF50-(CG49-CG50)</f>
        <v/>
      </c>
      <c r="CI50">
        <f>MAX(0,CH50*(1+$E$24)-$F$24)</f>
        <v/>
      </c>
      <c r="CJ50">
        <f>CJ49-MIN(CJ49,CI50)</f>
        <v/>
      </c>
      <c r="CK50">
        <f>CI50-(CJ49-CJ50)</f>
        <v/>
      </c>
      <c r="CL50">
        <f>MAX(0,CK50*(1+$E$24)-$F$24)</f>
        <v/>
      </c>
      <c r="CM50">
        <f>CM49-MIN(CM49,CL50)</f>
        <v/>
      </c>
      <c r="CN50">
        <f>CL50-(CM49-CM50)</f>
        <v/>
      </c>
      <c r="CO50">
        <f>MAX(0,CN50*(1+$E$24)-$F$24)</f>
        <v/>
      </c>
      <c r="CP50">
        <f>CP49-MIN(CP49,CO50)</f>
        <v/>
      </c>
      <c r="CQ50">
        <f>CO50-(CP49-CP50)</f>
        <v/>
      </c>
      <c r="CR50">
        <f>MAX(0,CQ50*(1+$E$24)-$F$24)</f>
        <v/>
      </c>
      <c r="CS50">
        <f>CS49-MIN(CS49,CR50)</f>
        <v/>
      </c>
      <c r="CT50">
        <f>CR50-(CS49-CS50)</f>
        <v/>
      </c>
      <c r="CU50">
        <f>MAX(0,CT50*(1+$E$24)-$F$24)</f>
        <v/>
      </c>
      <c r="CV50">
        <f>CV49-MIN(CV49,CU50)</f>
        <v/>
      </c>
      <c r="CW50">
        <f>CU50-(CV49-CV50)</f>
        <v/>
      </c>
      <c r="CX50">
        <f>MAX(0,CW50*(1+$E$24)-$F$24)</f>
        <v/>
      </c>
      <c r="CY50">
        <f>CY49-MIN(CY49,CX50)</f>
        <v/>
      </c>
      <c r="CZ50">
        <f>CX50-(CY49-CY50)</f>
        <v/>
      </c>
      <c r="DA50">
        <f>MAX(0,CZ50*(1+$E$24)-$F$24)</f>
        <v/>
      </c>
      <c r="DB50">
        <f>DB49-MIN(DB49,DA50)</f>
        <v/>
      </c>
      <c r="DC50">
        <f>DA50-(DB49-DB50)</f>
        <v/>
      </c>
      <c r="DD50">
        <f>MAX(0,DC50*(1+$E$24)-$F$24)</f>
        <v/>
      </c>
      <c r="DE50">
        <f>DE49-MIN(DE49,DD50)</f>
        <v/>
      </c>
      <c r="DF50">
        <f>DD50-(DE49-DE50)</f>
        <v/>
      </c>
      <c r="DG50">
        <f>MAX(0,DF50*(1+$E$24)-$F$24)</f>
        <v/>
      </c>
      <c r="DH50">
        <f>DH49-MIN(DH49,DG50)</f>
        <v/>
      </c>
      <c r="DI50">
        <f>DG50-(DH49-DH50)</f>
        <v/>
      </c>
      <c r="DJ50">
        <f>MAX(0,DI50*(1+$E$24)-$F$24)</f>
        <v/>
      </c>
      <c r="DK50">
        <f>DK49-MIN(DK49,DJ50)</f>
        <v/>
      </c>
      <c r="DL50">
        <f>DJ50-(DK49-DK50)</f>
        <v/>
      </c>
      <c r="DM50">
        <f>MAX(0,DL50*(1+$E$24)-$F$24)</f>
        <v/>
      </c>
      <c r="DN50">
        <f>DN49-MIN(DN49,DM50)</f>
        <v/>
      </c>
      <c r="DO50">
        <f>DM50-(DN49-DN50)</f>
        <v/>
      </c>
      <c r="DP50">
        <f>MAX(0,DO50*(1+$E$24)-$F$24)</f>
        <v/>
      </c>
      <c r="DQ50">
        <f>DQ49-MIN(DQ49,DP50)</f>
        <v/>
      </c>
      <c r="DR50">
        <f>DP50-(DQ49-DQ50)</f>
        <v/>
      </c>
      <c r="DS50">
        <f>MAX(0,DR50*(1+$E$24)-$F$24)</f>
        <v/>
      </c>
      <c r="DT50">
        <f>DT49-MIN(DT49,DS50)</f>
        <v/>
      </c>
      <c r="DU50">
        <f>DS50-(DT49-DT50)</f>
        <v/>
      </c>
      <c r="DV50">
        <f>MAX(0,DU50*(1+$E$24)-$F$24)</f>
        <v/>
      </c>
      <c r="DW50">
        <f>DW49-MIN(DW49,DV50)</f>
        <v/>
      </c>
      <c r="DX50">
        <f>DV50-(DW49-DW50)</f>
        <v/>
      </c>
      <c r="DY50">
        <f>MAX(0,DX50*(1+$E$24)-$F$24)</f>
        <v/>
      </c>
      <c r="DZ50">
        <f>DZ49-MIN(DZ49,DY50)</f>
        <v/>
      </c>
      <c r="EA50">
        <f>DY50-(DZ49-DZ50)</f>
        <v/>
      </c>
      <c r="EB50">
        <f>MAX(0,EA50*(1+$E$24)-$F$24)</f>
        <v/>
      </c>
      <c r="EC50">
        <f>EC49-MIN(EC49,EB50)</f>
        <v/>
      </c>
      <c r="ED50">
        <f>EB50-(EC49-EC50)</f>
        <v/>
      </c>
      <c r="EE50">
        <f>MAX(0,ED50*(1+$E$24)-$F$24)</f>
        <v/>
      </c>
      <c r="EF50">
        <f>EF49-MIN(EF49,EE50)</f>
        <v/>
      </c>
      <c r="EG50">
        <f>EE50-(EF49-EF50)</f>
        <v/>
      </c>
      <c r="EH50">
        <f>MAX(0,EG50*(1+$E$24)-$F$24)</f>
        <v/>
      </c>
      <c r="EI50">
        <f>EI49-MIN(EI49,EH50)</f>
        <v/>
      </c>
      <c r="EJ50">
        <f>EH50-(EI49-EI50)</f>
        <v/>
      </c>
      <c r="EK50">
        <f>MAX(0,EJ50*(1+$E$24)-$F$24)</f>
        <v/>
      </c>
      <c r="EL50">
        <f>EL49-MIN(EL49,EK50)</f>
        <v/>
      </c>
      <c r="EM50">
        <f>EK50-(EL49-EL50)</f>
        <v/>
      </c>
      <c r="EN50">
        <f>MAX(0,EM50*(1+$E$24)-$F$24)</f>
        <v/>
      </c>
      <c r="EO50">
        <f>EO49-MIN(EO49,EN50)</f>
        <v/>
      </c>
      <c r="EP50">
        <f>EN50-(EO49-EO50)</f>
        <v/>
      </c>
      <c r="EQ50">
        <f>MAX(0,EP50*(1+$E$24)-$F$24)</f>
        <v/>
      </c>
      <c r="ER50">
        <f>ER49-MIN(ER49,EQ50)</f>
        <v/>
      </c>
      <c r="ES50">
        <f>EQ50-(ER49-ER50)</f>
        <v/>
      </c>
      <c r="ET50">
        <f>MAX(0,ES50*(1+$E$24)-$F$24)</f>
        <v/>
      </c>
      <c r="EU50">
        <f>EU49-MIN(EU49,ET50)</f>
        <v/>
      </c>
      <c r="EV50">
        <f>ET50-(EU49-EU50)</f>
        <v/>
      </c>
      <c r="EW50">
        <f>MAX(0,EV50*(1+$E$24)-$F$24)</f>
        <v/>
      </c>
      <c r="EX50">
        <f>EX49-MIN(EX49,EW50)</f>
        <v/>
      </c>
      <c r="EY50">
        <f>EW50-(EX49-EX50)</f>
        <v/>
      </c>
      <c r="EZ50">
        <f>MAX(0,EY50*(1+$E$24)-$F$24)</f>
        <v/>
      </c>
      <c r="FA50">
        <f>FA49-MIN(FA49,EZ50)</f>
        <v/>
      </c>
      <c r="FB50">
        <f>EZ50-(FA49-FA50)</f>
        <v/>
      </c>
      <c r="FC50">
        <f>MAX(0,FB50*(1+$E$24)-$F$24)</f>
        <v/>
      </c>
      <c r="FD50">
        <f>FD49-MIN(FD49,FC50)</f>
        <v/>
      </c>
      <c r="FE50">
        <f>FC50-(FD49-FD50)</f>
        <v/>
      </c>
      <c r="FF50">
        <f>MAX(0,FE50*(1+$E$24)-$F$24)</f>
        <v/>
      </c>
      <c r="FG50">
        <f>FG49-MIN(FG49,FF50)</f>
        <v/>
      </c>
      <c r="FH50">
        <f>FF50-(FG49-FG50)</f>
        <v/>
      </c>
      <c r="FI50">
        <f>MAX(0,FH50*(1+$E$24)-$F$24)</f>
        <v/>
      </c>
      <c r="FJ50">
        <f>FJ49-MIN(FJ49,FI50)</f>
        <v/>
      </c>
      <c r="FK50">
        <f>FI50-(FJ49-FJ50)</f>
        <v/>
      </c>
      <c r="FL50">
        <f>MAX(0,FK50*(1+$E$24)-$F$24)</f>
        <v/>
      </c>
      <c r="FM50">
        <f>FM49-MIN(FM49,FL50)</f>
        <v/>
      </c>
      <c r="FN50">
        <f>FL50-(FM49-FM50)</f>
        <v/>
      </c>
      <c r="FO50">
        <f>MAX(0,FN50*(1+$E$24)-$F$24)</f>
        <v/>
      </c>
      <c r="FP50">
        <f>FP49-MIN(FP49,FO50)</f>
        <v/>
      </c>
      <c r="FQ50">
        <f>FO50-(FP49-FP50)</f>
        <v/>
      </c>
      <c r="FR50">
        <f>MAX(0,FQ50*(1+$E$24)-$F$24)</f>
        <v/>
      </c>
      <c r="FS50">
        <f>FS49-MIN(FS49,FR50)</f>
        <v/>
      </c>
      <c r="FT50">
        <f>FR50-(FS49-FS50)</f>
        <v/>
      </c>
      <c r="FU50">
        <f>MAX(0,FT50*(1+$E$24)-$F$24)</f>
        <v/>
      </c>
      <c r="FV50">
        <f>FV49-MIN(FV49,FU50)</f>
        <v/>
      </c>
      <c r="FW50">
        <f>FU50-(FV49-FV50)</f>
        <v/>
      </c>
      <c r="FX50">
        <f>MAX(0,FW50*(1+$E$24)-$F$24)</f>
        <v/>
      </c>
      <c r="FY50">
        <f>FY49-MIN(FY49,FX50)</f>
        <v/>
      </c>
      <c r="FZ50">
        <f>FX50-(FY49-FY50)</f>
        <v/>
      </c>
      <c r="GA50">
        <f>MAX(0,FZ50*(1+$E$24)-$F$24)</f>
        <v/>
      </c>
      <c r="GB50">
        <f>GB49-MIN(GB49,GA50)</f>
        <v/>
      </c>
      <c r="GC50">
        <f>GA50-(GB49-GB50)</f>
        <v/>
      </c>
      <c r="GD50">
        <f>MAX(0,GC50*(1+$E$24)-$F$24)</f>
        <v/>
      </c>
      <c r="GE50">
        <f>GE49-MIN(GE49,GD50)</f>
        <v/>
      </c>
      <c r="GF50">
        <f>GD50-(GE49-GE50)</f>
        <v/>
      </c>
      <c r="GG50">
        <f>MAX(0,GF50*(1+$E$24)-$F$24)</f>
        <v/>
      </c>
      <c r="GH50">
        <f>GH49-MIN(GH49,GG50)</f>
        <v/>
      </c>
      <c r="GI50">
        <f>GG50-(GH49-GH50)</f>
        <v/>
      </c>
      <c r="GJ50">
        <f>MAX(0,GI50*(1+$E$24)-$F$24)</f>
        <v/>
      </c>
      <c r="GK50">
        <f>GK49-MIN(GK49,GJ50)</f>
        <v/>
      </c>
      <c r="GL50">
        <f>GJ50-(GK49-GK50)</f>
        <v/>
      </c>
      <c r="GM50">
        <f>MAX(0,GL50*(1+$E$24)-$F$24)</f>
        <v/>
      </c>
      <c r="GN50">
        <f>GN49-MIN(GN49,GM50)</f>
        <v/>
      </c>
      <c r="GO50">
        <f>GM50-(GN49-GN50)</f>
        <v/>
      </c>
      <c r="GP50">
        <f>MAX(0,GO50*(1+$E$24)-$F$24)</f>
        <v/>
      </c>
      <c r="GQ50">
        <f>GQ49-MIN(GQ49,GP50)</f>
        <v/>
      </c>
      <c r="GR50">
        <f>GP50-(GQ49-GQ50)</f>
        <v/>
      </c>
      <c r="GS50">
        <f>MAX(0,GR50*(1+$E$24)-$F$24)</f>
        <v/>
      </c>
      <c r="GT50">
        <f>GT49-MIN(GT49,GS50)</f>
        <v/>
      </c>
      <c r="GU50">
        <f>GS50-(GT49-GT50)</f>
        <v/>
      </c>
      <c r="GV50">
        <f>MAX(0,GU50*(1+$E$24)-$F$24)</f>
        <v/>
      </c>
      <c r="GW50">
        <f>GW49-MIN(GW49,GV50)</f>
        <v/>
      </c>
      <c r="GX50">
        <f>GV50-(GW49-GW50)</f>
        <v/>
      </c>
      <c r="GY50">
        <f>MAX(0,GX50*(1+$E$24)-$F$24)</f>
        <v/>
      </c>
      <c r="GZ50">
        <f>GZ49-MIN(GZ49,GY50)</f>
        <v/>
      </c>
      <c r="HA50">
        <f>GY50-(GZ49-GZ50)</f>
        <v/>
      </c>
      <c r="HB50">
        <f>MAX(0,HA50*(1+$E$24)-$F$24)</f>
        <v/>
      </c>
      <c r="HC50">
        <f>HC49-MIN(HC49,HB50)</f>
        <v/>
      </c>
      <c r="HD50">
        <f>HB50-(HC49-HC50)</f>
        <v/>
      </c>
      <c r="HE50">
        <f>MAX(0,HD50*(1+$E$24)-$F$24)</f>
        <v/>
      </c>
      <c r="HF50">
        <f>HF49-MIN(HF49,HE50)</f>
        <v/>
      </c>
      <c r="HG50">
        <f>HE50-(HF49-HF50)</f>
        <v/>
      </c>
      <c r="HH50">
        <f>MAX(0,HG50*(1+$E$24)-$F$24)</f>
        <v/>
      </c>
      <c r="HI50">
        <f>HI49-MIN(HI49,HH50)</f>
        <v/>
      </c>
      <c r="HJ50">
        <f>HH50-(HI49-HI50)</f>
        <v/>
      </c>
      <c r="HK50">
        <f>MAX(0,HJ50*(1+$E$24)-$F$24)</f>
        <v/>
      </c>
      <c r="HL50">
        <f>HL49-MIN(HL49,HK50)</f>
        <v/>
      </c>
      <c r="HM50">
        <f>HK50-(HL49-HL50)</f>
        <v/>
      </c>
      <c r="HN50">
        <f>MAX(0,HM50*(1+$E$24)-$F$24)</f>
        <v/>
      </c>
      <c r="HO50">
        <f>HO49-MIN(HO49,HN50)</f>
        <v/>
      </c>
      <c r="HP50">
        <f>HN50-(HO49-HO50)</f>
        <v/>
      </c>
      <c r="HQ50">
        <f>MAX(0,HP50*(1+$E$24)-$F$24)</f>
        <v/>
      </c>
      <c r="HR50">
        <f>HR49-MIN(HR49,HQ50)</f>
        <v/>
      </c>
      <c r="HS50">
        <f>HQ50-(HR49-HR50)</f>
        <v/>
      </c>
      <c r="HT50">
        <f>MAX(0,HS50*(1+$E$24)-$F$24)</f>
        <v/>
      </c>
      <c r="HU50">
        <f>HU49-MIN(HU49,HT50)</f>
        <v/>
      </c>
      <c r="HV50">
        <f>HT50-(HU49-HU50)</f>
        <v/>
      </c>
      <c r="HW50">
        <f>MAX(0,HV50*(1+$E$24)-$F$24)</f>
        <v/>
      </c>
      <c r="HX50">
        <f>HX49-MIN(HX49,HW50)</f>
        <v/>
      </c>
      <c r="HY50">
        <f>HW50-(HX49-HX50)</f>
        <v/>
      </c>
      <c r="HZ50">
        <f>MAX(0,HY50*(1+$E$24)-$F$24)</f>
        <v/>
      </c>
      <c r="IA50">
        <f>IA49-MIN(IA49,HZ50)</f>
        <v/>
      </c>
      <c r="IB50">
        <f>HZ50-(IA49-IA50)</f>
        <v/>
      </c>
      <c r="IC50">
        <f>MAX(0,IB50*(1+$E$24)-$F$24)</f>
        <v/>
      </c>
      <c r="ID50">
        <f>ID49-MIN(ID49,IC50)</f>
        <v/>
      </c>
      <c r="IE50">
        <f>IC50-(ID49-ID50)</f>
        <v/>
      </c>
      <c r="IF50">
        <f>MAX(0,IE50*(1+$E$24)-$F$24)</f>
        <v/>
      </c>
      <c r="IG50">
        <f>IG49-MIN(IG49,IF50)</f>
        <v/>
      </c>
      <c r="IH50">
        <f>IF50-(IG49-IG50)</f>
        <v/>
      </c>
      <c r="II50">
        <f>MAX(0,IH50*(1+$E$24)-$F$24)</f>
        <v/>
      </c>
      <c r="IJ50">
        <f>IJ49-MIN(IJ49,II50)</f>
        <v/>
      </c>
      <c r="IK50">
        <f>II50-(IJ49-IJ50)</f>
        <v/>
      </c>
      <c r="IL50">
        <f>MAX(0,IK50*(1+$E$24)-$F$24)</f>
        <v/>
      </c>
      <c r="IM50">
        <f>IM49-MIN(IM49,IL50)</f>
        <v/>
      </c>
      <c r="IN50">
        <f>IL50-(IM49-IM50)</f>
        <v/>
      </c>
      <c r="IO50">
        <f>MAX(0,IN50*(1+$E$24)-$F$24)</f>
        <v/>
      </c>
      <c r="IP50">
        <f>IP49-MIN(IP49,IO50)</f>
        <v/>
      </c>
      <c r="IQ50">
        <f>IO50-(IP49-IP50)</f>
        <v/>
      </c>
      <c r="IR50">
        <f>MAX(0,IQ50*(1+$E$24)-$F$24)</f>
        <v/>
      </c>
      <c r="IS50">
        <f>IS49-MIN(IS49,IR50)</f>
        <v/>
      </c>
      <c r="IT50">
        <f>IR50-(IS49-IS50)</f>
        <v/>
      </c>
      <c r="IU50">
        <f>MAX(0,IT50*(1+$E$24)-$F$24)</f>
        <v/>
      </c>
      <c r="IV50">
        <f>IV49-MIN(IV49,IU50)</f>
        <v/>
      </c>
      <c r="IW50">
        <f>IU50-(IV49-IV50)</f>
        <v/>
      </c>
      <c r="IX50">
        <f>MAX(0,IW50*(1+$E$24)-$F$24)</f>
        <v/>
      </c>
      <c r="IY50">
        <f>IY49-MIN(IY49,IX50)</f>
        <v/>
      </c>
      <c r="IZ50">
        <f>IX50-(IY49-IY50)</f>
        <v/>
      </c>
      <c r="JA50">
        <f>MAX(0,IZ50*(1+$E$24)-$F$24)</f>
        <v/>
      </c>
      <c r="JB50">
        <f>JB49-MIN(JB49,JA50)</f>
        <v/>
      </c>
      <c r="JC50">
        <f>JA50-(JB49-JB50)</f>
        <v/>
      </c>
      <c r="JD50">
        <f>MAX(0,JC50*(1+$E$24)-$F$24)</f>
        <v/>
      </c>
      <c r="JE50">
        <f>JE49-MIN(JE49,JD50)</f>
        <v/>
      </c>
      <c r="JF50">
        <f>JD50-(JE49-JE50)</f>
        <v/>
      </c>
      <c r="JG50">
        <f>MAX(0,JF50*(1+$E$24)-$F$24)</f>
        <v/>
      </c>
      <c r="JH50">
        <f>JH49-MIN(JH49,JG50)</f>
        <v/>
      </c>
      <c r="JI50">
        <f>JG50-(JH49-JH50)</f>
        <v/>
      </c>
      <c r="JJ50">
        <f>MAX(0,JI50*(1+$E$24)-$F$24)</f>
        <v/>
      </c>
      <c r="JK50">
        <f>JK49-MIN(JK49,JJ50)</f>
        <v/>
      </c>
      <c r="JL50">
        <f>JJ50-(JK49-JK50)</f>
        <v/>
      </c>
      <c r="JM50">
        <f>MAX(0,JL50*(1+$E$24)-$F$24)</f>
        <v/>
      </c>
      <c r="JN50">
        <f>JN49-MIN(JN49,JM50)</f>
        <v/>
      </c>
      <c r="JO50">
        <f>JM50-(JN49-JN50)</f>
        <v/>
      </c>
      <c r="JP50">
        <f>MAX(0,JO50*(1+$E$24)-$F$24)</f>
        <v/>
      </c>
      <c r="JQ50">
        <f>JQ49-MIN(JQ49,JP50)</f>
        <v/>
      </c>
      <c r="JR50">
        <f>JP50-(JQ49-JQ50)</f>
        <v/>
      </c>
      <c r="JS50">
        <f>MAX(0,JR50*(1+$E$24)-$F$24)</f>
        <v/>
      </c>
      <c r="JT50">
        <f>JT49-MIN(JT49,JS50)</f>
        <v/>
      </c>
      <c r="JU50">
        <f>JS50-(JT49-JT50)</f>
        <v/>
      </c>
      <c r="JV50">
        <f>MAX(0,JU50*(1+$E$24)-$F$24)</f>
        <v/>
      </c>
      <c r="JW50">
        <f>JW49-MIN(JW49,JV50)</f>
        <v/>
      </c>
      <c r="JX50">
        <f>JV50-(JW49-JW50)</f>
        <v/>
      </c>
      <c r="JY50">
        <f>MAX(0,JX50*(1+$E$24)-$F$24)</f>
        <v/>
      </c>
      <c r="JZ50">
        <f>JZ49-MIN(JZ49,JY50)</f>
        <v/>
      </c>
      <c r="KA50">
        <f>JY50-(JZ49-JZ50)</f>
        <v/>
      </c>
      <c r="KB50">
        <f>MAX(0,KA50*(1+$E$24)-$F$24)</f>
        <v/>
      </c>
      <c r="KC50">
        <f>KC49-MIN(KC49,KB50)</f>
        <v/>
      </c>
      <c r="KD50">
        <f>KB50-(KC49-KC50)</f>
        <v/>
      </c>
      <c r="KE50">
        <f>MAX(0,KD50*(1+$E$24)-$F$24)</f>
        <v/>
      </c>
      <c r="KF50">
        <f>KF49-MIN(KF49,KE50)</f>
        <v/>
      </c>
      <c r="KG50">
        <f>KE50-(KF49-KF50)</f>
        <v/>
      </c>
      <c r="KH50">
        <f>MAX(0,KG50*(1+$E$24)-$F$24)</f>
        <v/>
      </c>
      <c r="KI50">
        <f>KI49-MIN(KI49,KH50)</f>
        <v/>
      </c>
      <c r="KJ50">
        <f>KH50-(KI49-KI50)</f>
        <v/>
      </c>
      <c r="KK50">
        <f>MAX(0,KJ50*(1+$E$24)-$F$24)</f>
        <v/>
      </c>
      <c r="KL50">
        <f>KL49-MIN(KL49,KK50)</f>
        <v/>
      </c>
      <c r="KM50">
        <f>KK50-(KL49-KL50)</f>
        <v/>
      </c>
      <c r="KN50">
        <f>MAX(0,KM50*(1+$E$24)-$F$24)</f>
        <v/>
      </c>
      <c r="KO50">
        <f>KO49-MIN(KO49,KN50)</f>
        <v/>
      </c>
      <c r="KP50">
        <f>KN50-(KO49-KO50)</f>
        <v/>
      </c>
      <c r="KQ50">
        <f>MAX(0,KP50*(1+$E$24)-$F$24)</f>
        <v/>
      </c>
      <c r="KR50">
        <f>KR49-MIN(KR49,KQ50)</f>
        <v/>
      </c>
      <c r="KS50">
        <f>KQ50-(KR49-KR50)</f>
        <v/>
      </c>
      <c r="KT50">
        <f>MAX(0,KS50*(1+$E$24)-$F$24)</f>
        <v/>
      </c>
      <c r="KU50">
        <f>KU49-MIN(KU49,KT50)</f>
        <v/>
      </c>
      <c r="KV50">
        <f>KT50-(KU49-KU50)</f>
        <v/>
      </c>
      <c r="KW50">
        <f>MAX(0,KV50*(1+$E$24)-$F$24)</f>
        <v/>
      </c>
      <c r="KX50">
        <f>KX49-MIN(KX49,KW50)</f>
        <v/>
      </c>
      <c r="KY50">
        <f>KW50-(KX49-KX50)</f>
        <v/>
      </c>
      <c r="KZ50">
        <f>MAX(0,KY50*(1+$E$24)-$F$24)</f>
        <v/>
      </c>
      <c r="LA50">
        <f>LA49-MIN(LA49,KZ50)</f>
        <v/>
      </c>
      <c r="LB50">
        <f>KZ50-(LA49-LA50)</f>
        <v/>
      </c>
      <c r="LC50">
        <f>MAX(0,LB50*(1+$E$24)-$F$24)</f>
        <v/>
      </c>
      <c r="LD50">
        <f>LD49-MIN(LD49,LC50)</f>
        <v/>
      </c>
      <c r="LE50">
        <f>LC50-(LD49-LD50)</f>
        <v/>
      </c>
      <c r="LF50">
        <f>MAX(0,LE50*(1+$E$24)-$F$24)</f>
        <v/>
      </c>
      <c r="LG50">
        <f>LG49-MIN(LG49,LF50)</f>
        <v/>
      </c>
      <c r="LH50">
        <f>LF50-(LG49-LG50)</f>
        <v/>
      </c>
      <c r="LI50">
        <f>MAX(0,LH50*(1+$E$24)-$F$24)</f>
        <v/>
      </c>
      <c r="LJ50">
        <f>LJ49-MIN(LJ49,LI50)</f>
        <v/>
      </c>
      <c r="LK50">
        <f>LI50-(LJ49-LJ50)</f>
        <v/>
      </c>
      <c r="LL50">
        <f>MAX(0,LK50*(1+$E$24)-$F$24)</f>
        <v/>
      </c>
      <c r="LM50">
        <f>LM49-MIN(LM49,LL50)</f>
        <v/>
      </c>
      <c r="LN50">
        <f>LL50-(LM49-LM50)</f>
        <v/>
      </c>
      <c r="LO50">
        <f>MAX(0,LN50*(1+$E$24)-$F$24)</f>
        <v/>
      </c>
      <c r="LP50">
        <f>LP49-MIN(LP49,LO50)</f>
        <v/>
      </c>
      <c r="LQ50">
        <f>LO50-(LP49-LP50)</f>
        <v/>
      </c>
      <c r="LR50">
        <f>MAX(0,LQ50*(1+$E$24)-$F$24)</f>
        <v/>
      </c>
      <c r="LS50">
        <f>LS49-MIN(LS49,LR50)</f>
        <v/>
      </c>
      <c r="LT50">
        <f>LR50-(LS49-LS50)</f>
        <v/>
      </c>
      <c r="LU50">
        <f>MAX(0,LT50*(1+$E$24)-$F$24)</f>
        <v/>
      </c>
      <c r="LV50">
        <f>LV49-MIN(LV49,LU50)</f>
        <v/>
      </c>
      <c r="LW50">
        <f>LU50-(LV49-LV50)</f>
        <v/>
      </c>
      <c r="LX50">
        <f>MAX(0,LW50*(1+$E$24)-$F$24)</f>
        <v/>
      </c>
      <c r="LY50">
        <f>LY49-MIN(LY49,LX50)</f>
        <v/>
      </c>
      <c r="LZ50">
        <f>LX50-(LY49-LY50)</f>
        <v/>
      </c>
      <c r="MA50">
        <f>MAX(0,LZ50*(1+$E$24)-$F$24)</f>
        <v/>
      </c>
      <c r="MB50">
        <f>MB49-MIN(MB49,MA50)</f>
        <v/>
      </c>
      <c r="MC50">
        <f>MA50-(MB49-MB50)</f>
        <v/>
      </c>
      <c r="MD50">
        <f>MAX(0,MC50*(1+$E$24)-$F$24)</f>
        <v/>
      </c>
      <c r="ME50">
        <f>ME49-MIN(ME49,MD50)</f>
        <v/>
      </c>
      <c r="MF50">
        <f>MD50-(ME49-ME50)</f>
        <v/>
      </c>
      <c r="MG50">
        <f>MAX(0,MF50*(1+$E$24)-$F$24)</f>
        <v/>
      </c>
      <c r="MH50">
        <f>MH49-MIN(MH49,MG50)</f>
        <v/>
      </c>
      <c r="MI50">
        <f>MG50-(MH49-MH50)</f>
        <v/>
      </c>
      <c r="MJ50">
        <f>MAX(0,MI50*(1+$E$24)-$F$24)</f>
        <v/>
      </c>
      <c r="MK50">
        <f>MK49-MIN(MK49,MJ50)</f>
        <v/>
      </c>
      <c r="ML50">
        <f>MJ50-(MK49-MK50)</f>
        <v/>
      </c>
      <c r="MM50">
        <f>MAX(0,ML50*(1+$E$24)-$F$24)</f>
        <v/>
      </c>
      <c r="MN50">
        <f>MN49-MIN(MN49,MM50)</f>
        <v/>
      </c>
      <c r="MO50">
        <f>MM50-(MN49-MN50)</f>
        <v/>
      </c>
      <c r="MP50">
        <f>MAX(0,MO50*(1+$E$24)-$F$24)</f>
        <v/>
      </c>
      <c r="MQ50">
        <f>MQ49-MIN(MQ49,MP50)</f>
        <v/>
      </c>
      <c r="MR50">
        <f>MP50-(MQ49-MQ50)</f>
        <v/>
      </c>
      <c r="MS50">
        <f>MAX(0,MR50*(1+$E$24)-$F$24)</f>
        <v/>
      </c>
      <c r="MT50">
        <f>MT49-MIN(MT49,MS50)</f>
        <v/>
      </c>
      <c r="MU50">
        <f>MS50-(MT49-MT50)</f>
        <v/>
      </c>
      <c r="MV50">
        <f>MAX(0,MU50*(1+$E$24)-$F$24)</f>
        <v/>
      </c>
      <c r="MW50">
        <f>MW49-MIN(MW49,MV50)</f>
        <v/>
      </c>
      <c r="MX50">
        <f>MV50-(MW49-MW50)</f>
        <v/>
      </c>
    </row>
    <row r="51">
      <c r="A51" t="inlineStr">
        <is>
          <t>slot 2</t>
        </is>
      </c>
      <c r="B51">
        <f>D25</f>
        <v/>
      </c>
      <c r="C51">
        <f>MAX(0,B51*(1+$E$25)-$F$25)</f>
        <v/>
      </c>
      <c r="D51">
        <f>D50-MIN(D50,C51)</f>
        <v/>
      </c>
      <c r="E51">
        <f>C51-(D50-D51)</f>
        <v/>
      </c>
      <c r="F51">
        <f>MAX(0,E51*(1+$E$25)-$F$25)</f>
        <v/>
      </c>
      <c r="G51">
        <f>G50-MIN(G50,F51)</f>
        <v/>
      </c>
      <c r="H51">
        <f>F51-(G50-G51)</f>
        <v/>
      </c>
      <c r="I51">
        <f>MAX(0,H51*(1+$E$25)-$F$25)</f>
        <v/>
      </c>
      <c r="J51">
        <f>J50-MIN(J50,I51)</f>
        <v/>
      </c>
      <c r="K51">
        <f>I51-(J50-J51)</f>
        <v/>
      </c>
      <c r="L51">
        <f>MAX(0,K51*(1+$E$25)-$F$25)</f>
        <v/>
      </c>
      <c r="M51">
        <f>M50-MIN(M50,L51)</f>
        <v/>
      </c>
      <c r="N51">
        <f>L51-(M50-M51)</f>
        <v/>
      </c>
      <c r="O51">
        <f>MAX(0,N51*(1+$E$25)-$F$25)</f>
        <v/>
      </c>
      <c r="P51">
        <f>P50-MIN(P50,O51)</f>
        <v/>
      </c>
      <c r="Q51">
        <f>O51-(P50-P51)</f>
        <v/>
      </c>
      <c r="R51">
        <f>MAX(0,Q51*(1+$E$25)-$F$25)</f>
        <v/>
      </c>
      <c r="S51">
        <f>S50-MIN(S50,R51)</f>
        <v/>
      </c>
      <c r="T51">
        <f>R51-(S50-S51)</f>
        <v/>
      </c>
      <c r="U51">
        <f>MAX(0,T51*(1+$E$25)-$F$25)</f>
        <v/>
      </c>
      <c r="V51">
        <f>V50-MIN(V50,U51)</f>
        <v/>
      </c>
      <c r="W51">
        <f>U51-(V50-V51)</f>
        <v/>
      </c>
      <c r="X51">
        <f>MAX(0,W51*(1+$E$25)-$F$25)</f>
        <v/>
      </c>
      <c r="Y51">
        <f>Y50-MIN(Y50,X51)</f>
        <v/>
      </c>
      <c r="Z51">
        <f>X51-(Y50-Y51)</f>
        <v/>
      </c>
      <c r="AA51">
        <f>MAX(0,Z51*(1+$E$25)-$F$25)</f>
        <v/>
      </c>
      <c r="AB51">
        <f>AB50-MIN(AB50,AA51)</f>
        <v/>
      </c>
      <c r="AC51">
        <f>AA51-(AB50-AB51)</f>
        <v/>
      </c>
      <c r="AD51">
        <f>MAX(0,AC51*(1+$E$25)-$F$25)</f>
        <v/>
      </c>
      <c r="AE51">
        <f>AE50-MIN(AE50,AD51)</f>
        <v/>
      </c>
      <c r="AF51">
        <f>AD51-(AE50-AE51)</f>
        <v/>
      </c>
      <c r="AG51">
        <f>MAX(0,AF51*(1+$E$25)-$F$25)</f>
        <v/>
      </c>
      <c r="AH51">
        <f>AH50-MIN(AH50,AG51)</f>
        <v/>
      </c>
      <c r="AI51">
        <f>AG51-(AH50-AH51)</f>
        <v/>
      </c>
      <c r="AJ51">
        <f>MAX(0,AI51*(1+$E$25)-$F$25)</f>
        <v/>
      </c>
      <c r="AK51">
        <f>AK50-MIN(AK50,AJ51)</f>
        <v/>
      </c>
      <c r="AL51">
        <f>AJ51-(AK50-AK51)</f>
        <v/>
      </c>
      <c r="AM51">
        <f>MAX(0,AL51*(1+$E$25)-$F$25)</f>
        <v/>
      </c>
      <c r="AN51">
        <f>AN50-MIN(AN50,AM51)</f>
        <v/>
      </c>
      <c r="AO51">
        <f>AM51-(AN50-AN51)</f>
        <v/>
      </c>
      <c r="AP51">
        <f>MAX(0,AO51*(1+$E$25)-$F$25)</f>
        <v/>
      </c>
      <c r="AQ51">
        <f>AQ50-MIN(AQ50,AP51)</f>
        <v/>
      </c>
      <c r="AR51">
        <f>AP51-(AQ50-AQ51)</f>
        <v/>
      </c>
      <c r="AS51">
        <f>MAX(0,AR51*(1+$E$25)-$F$25)</f>
        <v/>
      </c>
      <c r="AT51">
        <f>AT50-MIN(AT50,AS51)</f>
        <v/>
      </c>
      <c r="AU51">
        <f>AS51-(AT50-AT51)</f>
        <v/>
      </c>
      <c r="AV51">
        <f>MAX(0,AU51*(1+$E$25)-$F$25)</f>
        <v/>
      </c>
      <c r="AW51">
        <f>AW50-MIN(AW50,AV51)</f>
        <v/>
      </c>
      <c r="AX51">
        <f>AV51-(AW50-AW51)</f>
        <v/>
      </c>
      <c r="AY51">
        <f>MAX(0,AX51*(1+$E$25)-$F$25)</f>
        <v/>
      </c>
      <c r="AZ51">
        <f>AZ50-MIN(AZ50,AY51)</f>
        <v/>
      </c>
      <c r="BA51">
        <f>AY51-(AZ50-AZ51)</f>
        <v/>
      </c>
      <c r="BB51">
        <f>MAX(0,BA51*(1+$E$25)-$F$25)</f>
        <v/>
      </c>
      <c r="BC51">
        <f>BC50-MIN(BC50,BB51)</f>
        <v/>
      </c>
      <c r="BD51">
        <f>BB51-(BC50-BC51)</f>
        <v/>
      </c>
      <c r="BE51">
        <f>MAX(0,BD51*(1+$E$25)-$F$25)</f>
        <v/>
      </c>
      <c r="BF51">
        <f>BF50-MIN(BF50,BE51)</f>
        <v/>
      </c>
      <c r="BG51">
        <f>BE51-(BF50-BF51)</f>
        <v/>
      </c>
      <c r="BH51">
        <f>MAX(0,BG51*(1+$E$25)-$F$25)</f>
        <v/>
      </c>
      <c r="BI51">
        <f>BI50-MIN(BI50,BH51)</f>
        <v/>
      </c>
      <c r="BJ51">
        <f>BH51-(BI50-BI51)</f>
        <v/>
      </c>
      <c r="BK51">
        <f>MAX(0,BJ51*(1+$E$25)-$F$25)</f>
        <v/>
      </c>
      <c r="BL51">
        <f>BL50-MIN(BL50,BK51)</f>
        <v/>
      </c>
      <c r="BM51">
        <f>BK51-(BL50-BL51)</f>
        <v/>
      </c>
      <c r="BN51">
        <f>MAX(0,BM51*(1+$E$25)-$F$25)</f>
        <v/>
      </c>
      <c r="BO51">
        <f>BO50-MIN(BO50,BN51)</f>
        <v/>
      </c>
      <c r="BP51">
        <f>BN51-(BO50-BO51)</f>
        <v/>
      </c>
      <c r="BQ51">
        <f>MAX(0,BP51*(1+$E$25)-$F$25)</f>
        <v/>
      </c>
      <c r="BR51">
        <f>BR50-MIN(BR50,BQ51)</f>
        <v/>
      </c>
      <c r="BS51">
        <f>BQ51-(BR50-BR51)</f>
        <v/>
      </c>
      <c r="BT51">
        <f>MAX(0,BS51*(1+$E$25)-$F$25)</f>
        <v/>
      </c>
      <c r="BU51">
        <f>BU50-MIN(BU50,BT51)</f>
        <v/>
      </c>
      <c r="BV51">
        <f>BT51-(BU50-BU51)</f>
        <v/>
      </c>
      <c r="BW51">
        <f>MAX(0,BV51*(1+$E$25)-$F$25)</f>
        <v/>
      </c>
      <c r="BX51">
        <f>BX50-MIN(BX50,BW51)</f>
        <v/>
      </c>
      <c r="BY51">
        <f>BW51-(BX50-BX51)</f>
        <v/>
      </c>
      <c r="BZ51">
        <f>MAX(0,BY51*(1+$E$25)-$F$25)</f>
        <v/>
      </c>
      <c r="CA51">
        <f>CA50-MIN(CA50,BZ51)</f>
        <v/>
      </c>
      <c r="CB51">
        <f>BZ51-(CA50-CA51)</f>
        <v/>
      </c>
      <c r="CC51">
        <f>MAX(0,CB51*(1+$E$25)-$F$25)</f>
        <v/>
      </c>
      <c r="CD51">
        <f>CD50-MIN(CD50,CC51)</f>
        <v/>
      </c>
      <c r="CE51">
        <f>CC51-(CD50-CD51)</f>
        <v/>
      </c>
      <c r="CF51">
        <f>MAX(0,CE51*(1+$E$25)-$F$25)</f>
        <v/>
      </c>
      <c r="CG51">
        <f>CG50-MIN(CG50,CF51)</f>
        <v/>
      </c>
      <c r="CH51">
        <f>CF51-(CG50-CG51)</f>
        <v/>
      </c>
      <c r="CI51">
        <f>MAX(0,CH51*(1+$E$25)-$F$25)</f>
        <v/>
      </c>
      <c r="CJ51">
        <f>CJ50-MIN(CJ50,CI51)</f>
        <v/>
      </c>
      <c r="CK51">
        <f>CI51-(CJ50-CJ51)</f>
        <v/>
      </c>
      <c r="CL51">
        <f>MAX(0,CK51*(1+$E$25)-$F$25)</f>
        <v/>
      </c>
      <c r="CM51">
        <f>CM50-MIN(CM50,CL51)</f>
        <v/>
      </c>
      <c r="CN51">
        <f>CL51-(CM50-CM51)</f>
        <v/>
      </c>
      <c r="CO51">
        <f>MAX(0,CN51*(1+$E$25)-$F$25)</f>
        <v/>
      </c>
      <c r="CP51">
        <f>CP50-MIN(CP50,CO51)</f>
        <v/>
      </c>
      <c r="CQ51">
        <f>CO51-(CP50-CP51)</f>
        <v/>
      </c>
      <c r="CR51">
        <f>MAX(0,CQ51*(1+$E$25)-$F$25)</f>
        <v/>
      </c>
      <c r="CS51">
        <f>CS50-MIN(CS50,CR51)</f>
        <v/>
      </c>
      <c r="CT51">
        <f>CR51-(CS50-CS51)</f>
        <v/>
      </c>
      <c r="CU51">
        <f>MAX(0,CT51*(1+$E$25)-$F$25)</f>
        <v/>
      </c>
      <c r="CV51">
        <f>CV50-MIN(CV50,CU51)</f>
        <v/>
      </c>
      <c r="CW51">
        <f>CU51-(CV50-CV51)</f>
        <v/>
      </c>
      <c r="CX51">
        <f>MAX(0,CW51*(1+$E$25)-$F$25)</f>
        <v/>
      </c>
      <c r="CY51">
        <f>CY50-MIN(CY50,CX51)</f>
        <v/>
      </c>
      <c r="CZ51">
        <f>CX51-(CY50-CY51)</f>
        <v/>
      </c>
      <c r="DA51">
        <f>MAX(0,CZ51*(1+$E$25)-$F$25)</f>
        <v/>
      </c>
      <c r="DB51">
        <f>DB50-MIN(DB50,DA51)</f>
        <v/>
      </c>
      <c r="DC51">
        <f>DA51-(DB50-DB51)</f>
        <v/>
      </c>
      <c r="DD51">
        <f>MAX(0,DC51*(1+$E$25)-$F$25)</f>
        <v/>
      </c>
      <c r="DE51">
        <f>DE50-MIN(DE50,DD51)</f>
        <v/>
      </c>
      <c r="DF51">
        <f>DD51-(DE50-DE51)</f>
        <v/>
      </c>
      <c r="DG51">
        <f>MAX(0,DF51*(1+$E$25)-$F$25)</f>
        <v/>
      </c>
      <c r="DH51">
        <f>DH50-MIN(DH50,DG51)</f>
        <v/>
      </c>
      <c r="DI51">
        <f>DG51-(DH50-DH51)</f>
        <v/>
      </c>
      <c r="DJ51">
        <f>MAX(0,DI51*(1+$E$25)-$F$25)</f>
        <v/>
      </c>
      <c r="DK51">
        <f>DK50-MIN(DK50,DJ51)</f>
        <v/>
      </c>
      <c r="DL51">
        <f>DJ51-(DK50-DK51)</f>
        <v/>
      </c>
      <c r="DM51">
        <f>MAX(0,DL51*(1+$E$25)-$F$25)</f>
        <v/>
      </c>
      <c r="DN51">
        <f>DN50-MIN(DN50,DM51)</f>
        <v/>
      </c>
      <c r="DO51">
        <f>DM51-(DN50-DN51)</f>
        <v/>
      </c>
      <c r="DP51">
        <f>MAX(0,DO51*(1+$E$25)-$F$25)</f>
        <v/>
      </c>
      <c r="DQ51">
        <f>DQ50-MIN(DQ50,DP51)</f>
        <v/>
      </c>
      <c r="DR51">
        <f>DP51-(DQ50-DQ51)</f>
        <v/>
      </c>
      <c r="DS51">
        <f>MAX(0,DR51*(1+$E$25)-$F$25)</f>
        <v/>
      </c>
      <c r="DT51">
        <f>DT50-MIN(DT50,DS51)</f>
        <v/>
      </c>
      <c r="DU51">
        <f>DS51-(DT50-DT51)</f>
        <v/>
      </c>
      <c r="DV51">
        <f>MAX(0,DU51*(1+$E$25)-$F$25)</f>
        <v/>
      </c>
      <c r="DW51">
        <f>DW50-MIN(DW50,DV51)</f>
        <v/>
      </c>
      <c r="DX51">
        <f>DV51-(DW50-DW51)</f>
        <v/>
      </c>
      <c r="DY51">
        <f>MAX(0,DX51*(1+$E$25)-$F$25)</f>
        <v/>
      </c>
      <c r="DZ51">
        <f>DZ50-MIN(DZ50,DY51)</f>
        <v/>
      </c>
      <c r="EA51">
        <f>DY51-(DZ50-DZ51)</f>
        <v/>
      </c>
      <c r="EB51">
        <f>MAX(0,EA51*(1+$E$25)-$F$25)</f>
        <v/>
      </c>
      <c r="EC51">
        <f>EC50-MIN(EC50,EB51)</f>
        <v/>
      </c>
      <c r="ED51">
        <f>EB51-(EC50-EC51)</f>
        <v/>
      </c>
      <c r="EE51">
        <f>MAX(0,ED51*(1+$E$25)-$F$25)</f>
        <v/>
      </c>
      <c r="EF51">
        <f>EF50-MIN(EF50,EE51)</f>
        <v/>
      </c>
      <c r="EG51">
        <f>EE51-(EF50-EF51)</f>
        <v/>
      </c>
      <c r="EH51">
        <f>MAX(0,EG51*(1+$E$25)-$F$25)</f>
        <v/>
      </c>
      <c r="EI51">
        <f>EI50-MIN(EI50,EH51)</f>
        <v/>
      </c>
      <c r="EJ51">
        <f>EH51-(EI50-EI51)</f>
        <v/>
      </c>
      <c r="EK51">
        <f>MAX(0,EJ51*(1+$E$25)-$F$25)</f>
        <v/>
      </c>
      <c r="EL51">
        <f>EL50-MIN(EL50,EK51)</f>
        <v/>
      </c>
      <c r="EM51">
        <f>EK51-(EL50-EL51)</f>
        <v/>
      </c>
      <c r="EN51">
        <f>MAX(0,EM51*(1+$E$25)-$F$25)</f>
        <v/>
      </c>
      <c r="EO51">
        <f>EO50-MIN(EO50,EN51)</f>
        <v/>
      </c>
      <c r="EP51">
        <f>EN51-(EO50-EO51)</f>
        <v/>
      </c>
      <c r="EQ51">
        <f>MAX(0,EP51*(1+$E$25)-$F$25)</f>
        <v/>
      </c>
      <c r="ER51">
        <f>ER50-MIN(ER50,EQ51)</f>
        <v/>
      </c>
      <c r="ES51">
        <f>EQ51-(ER50-ER51)</f>
        <v/>
      </c>
      <c r="ET51">
        <f>MAX(0,ES51*(1+$E$25)-$F$25)</f>
        <v/>
      </c>
      <c r="EU51">
        <f>EU50-MIN(EU50,ET51)</f>
        <v/>
      </c>
      <c r="EV51">
        <f>ET51-(EU50-EU51)</f>
        <v/>
      </c>
      <c r="EW51">
        <f>MAX(0,EV51*(1+$E$25)-$F$25)</f>
        <v/>
      </c>
      <c r="EX51">
        <f>EX50-MIN(EX50,EW51)</f>
        <v/>
      </c>
      <c r="EY51">
        <f>EW51-(EX50-EX51)</f>
        <v/>
      </c>
      <c r="EZ51">
        <f>MAX(0,EY51*(1+$E$25)-$F$25)</f>
        <v/>
      </c>
      <c r="FA51">
        <f>FA50-MIN(FA50,EZ51)</f>
        <v/>
      </c>
      <c r="FB51">
        <f>EZ51-(FA50-FA51)</f>
        <v/>
      </c>
      <c r="FC51">
        <f>MAX(0,FB51*(1+$E$25)-$F$25)</f>
        <v/>
      </c>
      <c r="FD51">
        <f>FD50-MIN(FD50,FC51)</f>
        <v/>
      </c>
      <c r="FE51">
        <f>FC51-(FD50-FD51)</f>
        <v/>
      </c>
      <c r="FF51">
        <f>MAX(0,FE51*(1+$E$25)-$F$25)</f>
        <v/>
      </c>
      <c r="FG51">
        <f>FG50-MIN(FG50,FF51)</f>
        <v/>
      </c>
      <c r="FH51">
        <f>FF51-(FG50-FG51)</f>
        <v/>
      </c>
      <c r="FI51">
        <f>MAX(0,FH51*(1+$E$25)-$F$25)</f>
        <v/>
      </c>
      <c r="FJ51">
        <f>FJ50-MIN(FJ50,FI51)</f>
        <v/>
      </c>
      <c r="FK51">
        <f>FI51-(FJ50-FJ51)</f>
        <v/>
      </c>
      <c r="FL51">
        <f>MAX(0,FK51*(1+$E$25)-$F$25)</f>
        <v/>
      </c>
      <c r="FM51">
        <f>FM50-MIN(FM50,FL51)</f>
        <v/>
      </c>
      <c r="FN51">
        <f>FL51-(FM50-FM51)</f>
        <v/>
      </c>
      <c r="FO51">
        <f>MAX(0,FN51*(1+$E$25)-$F$25)</f>
        <v/>
      </c>
      <c r="FP51">
        <f>FP50-MIN(FP50,FO51)</f>
        <v/>
      </c>
      <c r="FQ51">
        <f>FO51-(FP50-FP51)</f>
        <v/>
      </c>
      <c r="FR51">
        <f>MAX(0,FQ51*(1+$E$25)-$F$25)</f>
        <v/>
      </c>
      <c r="FS51">
        <f>FS50-MIN(FS50,FR51)</f>
        <v/>
      </c>
      <c r="FT51">
        <f>FR51-(FS50-FS51)</f>
        <v/>
      </c>
      <c r="FU51">
        <f>MAX(0,FT51*(1+$E$25)-$F$25)</f>
        <v/>
      </c>
      <c r="FV51">
        <f>FV50-MIN(FV50,FU51)</f>
        <v/>
      </c>
      <c r="FW51">
        <f>FU51-(FV50-FV51)</f>
        <v/>
      </c>
      <c r="FX51">
        <f>MAX(0,FW51*(1+$E$25)-$F$25)</f>
        <v/>
      </c>
      <c r="FY51">
        <f>FY50-MIN(FY50,FX51)</f>
        <v/>
      </c>
      <c r="FZ51">
        <f>FX51-(FY50-FY51)</f>
        <v/>
      </c>
      <c r="GA51">
        <f>MAX(0,FZ51*(1+$E$25)-$F$25)</f>
        <v/>
      </c>
      <c r="GB51">
        <f>GB50-MIN(GB50,GA51)</f>
        <v/>
      </c>
      <c r="GC51">
        <f>GA51-(GB50-GB51)</f>
        <v/>
      </c>
      <c r="GD51">
        <f>MAX(0,GC51*(1+$E$25)-$F$25)</f>
        <v/>
      </c>
      <c r="GE51">
        <f>GE50-MIN(GE50,GD51)</f>
        <v/>
      </c>
      <c r="GF51">
        <f>GD51-(GE50-GE51)</f>
        <v/>
      </c>
      <c r="GG51">
        <f>MAX(0,GF51*(1+$E$25)-$F$25)</f>
        <v/>
      </c>
      <c r="GH51">
        <f>GH50-MIN(GH50,GG51)</f>
        <v/>
      </c>
      <c r="GI51">
        <f>GG51-(GH50-GH51)</f>
        <v/>
      </c>
      <c r="GJ51">
        <f>MAX(0,GI51*(1+$E$25)-$F$25)</f>
        <v/>
      </c>
      <c r="GK51">
        <f>GK50-MIN(GK50,GJ51)</f>
        <v/>
      </c>
      <c r="GL51">
        <f>GJ51-(GK50-GK51)</f>
        <v/>
      </c>
      <c r="GM51">
        <f>MAX(0,GL51*(1+$E$25)-$F$25)</f>
        <v/>
      </c>
      <c r="GN51">
        <f>GN50-MIN(GN50,GM51)</f>
        <v/>
      </c>
      <c r="GO51">
        <f>GM51-(GN50-GN51)</f>
        <v/>
      </c>
      <c r="GP51">
        <f>MAX(0,GO51*(1+$E$25)-$F$25)</f>
        <v/>
      </c>
      <c r="GQ51">
        <f>GQ50-MIN(GQ50,GP51)</f>
        <v/>
      </c>
      <c r="GR51">
        <f>GP51-(GQ50-GQ51)</f>
        <v/>
      </c>
      <c r="GS51">
        <f>MAX(0,GR51*(1+$E$25)-$F$25)</f>
        <v/>
      </c>
      <c r="GT51">
        <f>GT50-MIN(GT50,GS51)</f>
        <v/>
      </c>
      <c r="GU51">
        <f>GS51-(GT50-GT51)</f>
        <v/>
      </c>
      <c r="GV51">
        <f>MAX(0,GU51*(1+$E$25)-$F$25)</f>
        <v/>
      </c>
      <c r="GW51">
        <f>GW50-MIN(GW50,GV51)</f>
        <v/>
      </c>
      <c r="GX51">
        <f>GV51-(GW50-GW51)</f>
        <v/>
      </c>
      <c r="GY51">
        <f>MAX(0,GX51*(1+$E$25)-$F$25)</f>
        <v/>
      </c>
      <c r="GZ51">
        <f>GZ50-MIN(GZ50,GY51)</f>
        <v/>
      </c>
      <c r="HA51">
        <f>GY51-(GZ50-GZ51)</f>
        <v/>
      </c>
      <c r="HB51">
        <f>MAX(0,HA51*(1+$E$25)-$F$25)</f>
        <v/>
      </c>
      <c r="HC51">
        <f>HC50-MIN(HC50,HB51)</f>
        <v/>
      </c>
      <c r="HD51">
        <f>HB51-(HC50-HC51)</f>
        <v/>
      </c>
      <c r="HE51">
        <f>MAX(0,HD51*(1+$E$25)-$F$25)</f>
        <v/>
      </c>
      <c r="HF51">
        <f>HF50-MIN(HF50,HE51)</f>
        <v/>
      </c>
      <c r="HG51">
        <f>HE51-(HF50-HF51)</f>
        <v/>
      </c>
      <c r="HH51">
        <f>MAX(0,HG51*(1+$E$25)-$F$25)</f>
        <v/>
      </c>
      <c r="HI51">
        <f>HI50-MIN(HI50,HH51)</f>
        <v/>
      </c>
      <c r="HJ51">
        <f>HH51-(HI50-HI51)</f>
        <v/>
      </c>
      <c r="HK51">
        <f>MAX(0,HJ51*(1+$E$25)-$F$25)</f>
        <v/>
      </c>
      <c r="HL51">
        <f>HL50-MIN(HL50,HK51)</f>
        <v/>
      </c>
      <c r="HM51">
        <f>HK51-(HL50-HL51)</f>
        <v/>
      </c>
      <c r="HN51">
        <f>MAX(0,HM51*(1+$E$25)-$F$25)</f>
        <v/>
      </c>
      <c r="HO51">
        <f>HO50-MIN(HO50,HN51)</f>
        <v/>
      </c>
      <c r="HP51">
        <f>HN51-(HO50-HO51)</f>
        <v/>
      </c>
      <c r="HQ51">
        <f>MAX(0,HP51*(1+$E$25)-$F$25)</f>
        <v/>
      </c>
      <c r="HR51">
        <f>HR50-MIN(HR50,HQ51)</f>
        <v/>
      </c>
      <c r="HS51">
        <f>HQ51-(HR50-HR51)</f>
        <v/>
      </c>
      <c r="HT51">
        <f>MAX(0,HS51*(1+$E$25)-$F$25)</f>
        <v/>
      </c>
      <c r="HU51">
        <f>HU50-MIN(HU50,HT51)</f>
        <v/>
      </c>
      <c r="HV51">
        <f>HT51-(HU50-HU51)</f>
        <v/>
      </c>
      <c r="HW51">
        <f>MAX(0,HV51*(1+$E$25)-$F$25)</f>
        <v/>
      </c>
      <c r="HX51">
        <f>HX50-MIN(HX50,HW51)</f>
        <v/>
      </c>
      <c r="HY51">
        <f>HW51-(HX50-HX51)</f>
        <v/>
      </c>
      <c r="HZ51">
        <f>MAX(0,HY51*(1+$E$25)-$F$25)</f>
        <v/>
      </c>
      <c r="IA51">
        <f>IA50-MIN(IA50,HZ51)</f>
        <v/>
      </c>
      <c r="IB51">
        <f>HZ51-(IA50-IA51)</f>
        <v/>
      </c>
      <c r="IC51">
        <f>MAX(0,IB51*(1+$E$25)-$F$25)</f>
        <v/>
      </c>
      <c r="ID51">
        <f>ID50-MIN(ID50,IC51)</f>
        <v/>
      </c>
      <c r="IE51">
        <f>IC51-(ID50-ID51)</f>
        <v/>
      </c>
      <c r="IF51">
        <f>MAX(0,IE51*(1+$E$25)-$F$25)</f>
        <v/>
      </c>
      <c r="IG51">
        <f>IG50-MIN(IG50,IF51)</f>
        <v/>
      </c>
      <c r="IH51">
        <f>IF51-(IG50-IG51)</f>
        <v/>
      </c>
      <c r="II51">
        <f>MAX(0,IH51*(1+$E$25)-$F$25)</f>
        <v/>
      </c>
      <c r="IJ51">
        <f>IJ50-MIN(IJ50,II51)</f>
        <v/>
      </c>
      <c r="IK51">
        <f>II51-(IJ50-IJ51)</f>
        <v/>
      </c>
      <c r="IL51">
        <f>MAX(0,IK51*(1+$E$25)-$F$25)</f>
        <v/>
      </c>
      <c r="IM51">
        <f>IM50-MIN(IM50,IL51)</f>
        <v/>
      </c>
      <c r="IN51">
        <f>IL51-(IM50-IM51)</f>
        <v/>
      </c>
      <c r="IO51">
        <f>MAX(0,IN51*(1+$E$25)-$F$25)</f>
        <v/>
      </c>
      <c r="IP51">
        <f>IP50-MIN(IP50,IO51)</f>
        <v/>
      </c>
      <c r="IQ51">
        <f>IO51-(IP50-IP51)</f>
        <v/>
      </c>
      <c r="IR51">
        <f>MAX(0,IQ51*(1+$E$25)-$F$25)</f>
        <v/>
      </c>
      <c r="IS51">
        <f>IS50-MIN(IS50,IR51)</f>
        <v/>
      </c>
      <c r="IT51">
        <f>IR51-(IS50-IS51)</f>
        <v/>
      </c>
      <c r="IU51">
        <f>MAX(0,IT51*(1+$E$25)-$F$25)</f>
        <v/>
      </c>
      <c r="IV51">
        <f>IV50-MIN(IV50,IU51)</f>
        <v/>
      </c>
      <c r="IW51">
        <f>IU51-(IV50-IV51)</f>
        <v/>
      </c>
      <c r="IX51">
        <f>MAX(0,IW51*(1+$E$25)-$F$25)</f>
        <v/>
      </c>
      <c r="IY51">
        <f>IY50-MIN(IY50,IX51)</f>
        <v/>
      </c>
      <c r="IZ51">
        <f>IX51-(IY50-IY51)</f>
        <v/>
      </c>
      <c r="JA51">
        <f>MAX(0,IZ51*(1+$E$25)-$F$25)</f>
        <v/>
      </c>
      <c r="JB51">
        <f>JB50-MIN(JB50,JA51)</f>
        <v/>
      </c>
      <c r="JC51">
        <f>JA51-(JB50-JB51)</f>
        <v/>
      </c>
      <c r="JD51">
        <f>MAX(0,JC51*(1+$E$25)-$F$25)</f>
        <v/>
      </c>
      <c r="JE51">
        <f>JE50-MIN(JE50,JD51)</f>
        <v/>
      </c>
      <c r="JF51">
        <f>JD51-(JE50-JE51)</f>
        <v/>
      </c>
      <c r="JG51">
        <f>MAX(0,JF51*(1+$E$25)-$F$25)</f>
        <v/>
      </c>
      <c r="JH51">
        <f>JH50-MIN(JH50,JG51)</f>
        <v/>
      </c>
      <c r="JI51">
        <f>JG51-(JH50-JH51)</f>
        <v/>
      </c>
      <c r="JJ51">
        <f>MAX(0,JI51*(1+$E$25)-$F$25)</f>
        <v/>
      </c>
      <c r="JK51">
        <f>JK50-MIN(JK50,JJ51)</f>
        <v/>
      </c>
      <c r="JL51">
        <f>JJ51-(JK50-JK51)</f>
        <v/>
      </c>
      <c r="JM51">
        <f>MAX(0,JL51*(1+$E$25)-$F$25)</f>
        <v/>
      </c>
      <c r="JN51">
        <f>JN50-MIN(JN50,JM51)</f>
        <v/>
      </c>
      <c r="JO51">
        <f>JM51-(JN50-JN51)</f>
        <v/>
      </c>
      <c r="JP51">
        <f>MAX(0,JO51*(1+$E$25)-$F$25)</f>
        <v/>
      </c>
      <c r="JQ51">
        <f>JQ50-MIN(JQ50,JP51)</f>
        <v/>
      </c>
      <c r="JR51">
        <f>JP51-(JQ50-JQ51)</f>
        <v/>
      </c>
      <c r="JS51">
        <f>MAX(0,JR51*(1+$E$25)-$F$25)</f>
        <v/>
      </c>
      <c r="JT51">
        <f>JT50-MIN(JT50,JS51)</f>
        <v/>
      </c>
      <c r="JU51">
        <f>JS51-(JT50-JT51)</f>
        <v/>
      </c>
      <c r="JV51">
        <f>MAX(0,JU51*(1+$E$25)-$F$25)</f>
        <v/>
      </c>
      <c r="JW51">
        <f>JW50-MIN(JW50,JV51)</f>
        <v/>
      </c>
      <c r="JX51">
        <f>JV51-(JW50-JW51)</f>
        <v/>
      </c>
      <c r="JY51">
        <f>MAX(0,JX51*(1+$E$25)-$F$25)</f>
        <v/>
      </c>
      <c r="JZ51">
        <f>JZ50-MIN(JZ50,JY51)</f>
        <v/>
      </c>
      <c r="KA51">
        <f>JY51-(JZ50-JZ51)</f>
        <v/>
      </c>
      <c r="KB51">
        <f>MAX(0,KA51*(1+$E$25)-$F$25)</f>
        <v/>
      </c>
      <c r="KC51">
        <f>KC50-MIN(KC50,KB51)</f>
        <v/>
      </c>
      <c r="KD51">
        <f>KB51-(KC50-KC51)</f>
        <v/>
      </c>
      <c r="KE51">
        <f>MAX(0,KD51*(1+$E$25)-$F$25)</f>
        <v/>
      </c>
      <c r="KF51">
        <f>KF50-MIN(KF50,KE51)</f>
        <v/>
      </c>
      <c r="KG51">
        <f>KE51-(KF50-KF51)</f>
        <v/>
      </c>
      <c r="KH51">
        <f>MAX(0,KG51*(1+$E$25)-$F$25)</f>
        <v/>
      </c>
      <c r="KI51">
        <f>KI50-MIN(KI50,KH51)</f>
        <v/>
      </c>
      <c r="KJ51">
        <f>KH51-(KI50-KI51)</f>
        <v/>
      </c>
      <c r="KK51">
        <f>MAX(0,KJ51*(1+$E$25)-$F$25)</f>
        <v/>
      </c>
      <c r="KL51">
        <f>KL50-MIN(KL50,KK51)</f>
        <v/>
      </c>
      <c r="KM51">
        <f>KK51-(KL50-KL51)</f>
        <v/>
      </c>
      <c r="KN51">
        <f>MAX(0,KM51*(1+$E$25)-$F$25)</f>
        <v/>
      </c>
      <c r="KO51">
        <f>KO50-MIN(KO50,KN51)</f>
        <v/>
      </c>
      <c r="KP51">
        <f>KN51-(KO50-KO51)</f>
        <v/>
      </c>
      <c r="KQ51">
        <f>MAX(0,KP51*(1+$E$25)-$F$25)</f>
        <v/>
      </c>
      <c r="KR51">
        <f>KR50-MIN(KR50,KQ51)</f>
        <v/>
      </c>
      <c r="KS51">
        <f>KQ51-(KR50-KR51)</f>
        <v/>
      </c>
      <c r="KT51">
        <f>MAX(0,KS51*(1+$E$25)-$F$25)</f>
        <v/>
      </c>
      <c r="KU51">
        <f>KU50-MIN(KU50,KT51)</f>
        <v/>
      </c>
      <c r="KV51">
        <f>KT51-(KU50-KU51)</f>
        <v/>
      </c>
      <c r="KW51">
        <f>MAX(0,KV51*(1+$E$25)-$F$25)</f>
        <v/>
      </c>
      <c r="KX51">
        <f>KX50-MIN(KX50,KW51)</f>
        <v/>
      </c>
      <c r="KY51">
        <f>KW51-(KX50-KX51)</f>
        <v/>
      </c>
      <c r="KZ51">
        <f>MAX(0,KY51*(1+$E$25)-$F$25)</f>
        <v/>
      </c>
      <c r="LA51">
        <f>LA50-MIN(LA50,KZ51)</f>
        <v/>
      </c>
      <c r="LB51">
        <f>KZ51-(LA50-LA51)</f>
        <v/>
      </c>
      <c r="LC51">
        <f>MAX(0,LB51*(1+$E$25)-$F$25)</f>
        <v/>
      </c>
      <c r="LD51">
        <f>LD50-MIN(LD50,LC51)</f>
        <v/>
      </c>
      <c r="LE51">
        <f>LC51-(LD50-LD51)</f>
        <v/>
      </c>
      <c r="LF51">
        <f>MAX(0,LE51*(1+$E$25)-$F$25)</f>
        <v/>
      </c>
      <c r="LG51">
        <f>LG50-MIN(LG50,LF51)</f>
        <v/>
      </c>
      <c r="LH51">
        <f>LF51-(LG50-LG51)</f>
        <v/>
      </c>
      <c r="LI51">
        <f>MAX(0,LH51*(1+$E$25)-$F$25)</f>
        <v/>
      </c>
      <c r="LJ51">
        <f>LJ50-MIN(LJ50,LI51)</f>
        <v/>
      </c>
      <c r="LK51">
        <f>LI51-(LJ50-LJ51)</f>
        <v/>
      </c>
      <c r="LL51">
        <f>MAX(0,LK51*(1+$E$25)-$F$25)</f>
        <v/>
      </c>
      <c r="LM51">
        <f>LM50-MIN(LM50,LL51)</f>
        <v/>
      </c>
      <c r="LN51">
        <f>LL51-(LM50-LM51)</f>
        <v/>
      </c>
      <c r="LO51">
        <f>MAX(0,LN51*(1+$E$25)-$F$25)</f>
        <v/>
      </c>
      <c r="LP51">
        <f>LP50-MIN(LP50,LO51)</f>
        <v/>
      </c>
      <c r="LQ51">
        <f>LO51-(LP50-LP51)</f>
        <v/>
      </c>
      <c r="LR51">
        <f>MAX(0,LQ51*(1+$E$25)-$F$25)</f>
        <v/>
      </c>
      <c r="LS51">
        <f>LS50-MIN(LS50,LR51)</f>
        <v/>
      </c>
      <c r="LT51">
        <f>LR51-(LS50-LS51)</f>
        <v/>
      </c>
      <c r="LU51">
        <f>MAX(0,LT51*(1+$E$25)-$F$25)</f>
        <v/>
      </c>
      <c r="LV51">
        <f>LV50-MIN(LV50,LU51)</f>
        <v/>
      </c>
      <c r="LW51">
        <f>LU51-(LV50-LV51)</f>
        <v/>
      </c>
      <c r="LX51">
        <f>MAX(0,LW51*(1+$E$25)-$F$25)</f>
        <v/>
      </c>
      <c r="LY51">
        <f>LY50-MIN(LY50,LX51)</f>
        <v/>
      </c>
      <c r="LZ51">
        <f>LX51-(LY50-LY51)</f>
        <v/>
      </c>
      <c r="MA51">
        <f>MAX(0,LZ51*(1+$E$25)-$F$25)</f>
        <v/>
      </c>
      <c r="MB51">
        <f>MB50-MIN(MB50,MA51)</f>
        <v/>
      </c>
      <c r="MC51">
        <f>MA51-(MB50-MB51)</f>
        <v/>
      </c>
      <c r="MD51">
        <f>MAX(0,MC51*(1+$E$25)-$F$25)</f>
        <v/>
      </c>
      <c r="ME51">
        <f>ME50-MIN(ME50,MD51)</f>
        <v/>
      </c>
      <c r="MF51">
        <f>MD51-(ME50-ME51)</f>
        <v/>
      </c>
      <c r="MG51">
        <f>MAX(0,MF51*(1+$E$25)-$F$25)</f>
        <v/>
      </c>
      <c r="MH51">
        <f>MH50-MIN(MH50,MG51)</f>
        <v/>
      </c>
      <c r="MI51">
        <f>MG51-(MH50-MH51)</f>
        <v/>
      </c>
      <c r="MJ51">
        <f>MAX(0,MI51*(1+$E$25)-$F$25)</f>
        <v/>
      </c>
      <c r="MK51">
        <f>MK50-MIN(MK50,MJ51)</f>
        <v/>
      </c>
      <c r="ML51">
        <f>MJ51-(MK50-MK51)</f>
        <v/>
      </c>
      <c r="MM51">
        <f>MAX(0,ML51*(1+$E$25)-$F$25)</f>
        <v/>
      </c>
      <c r="MN51">
        <f>MN50-MIN(MN50,MM51)</f>
        <v/>
      </c>
      <c r="MO51">
        <f>MM51-(MN50-MN51)</f>
        <v/>
      </c>
      <c r="MP51">
        <f>MAX(0,MO51*(1+$E$25)-$F$25)</f>
        <v/>
      </c>
      <c r="MQ51">
        <f>MQ50-MIN(MQ50,MP51)</f>
        <v/>
      </c>
      <c r="MR51">
        <f>MP51-(MQ50-MQ51)</f>
        <v/>
      </c>
      <c r="MS51">
        <f>MAX(0,MR51*(1+$E$25)-$F$25)</f>
        <v/>
      </c>
      <c r="MT51">
        <f>MT50-MIN(MT50,MS51)</f>
        <v/>
      </c>
      <c r="MU51">
        <f>MS51-(MT50-MT51)</f>
        <v/>
      </c>
      <c r="MV51">
        <f>MAX(0,MU51*(1+$E$25)-$F$25)</f>
        <v/>
      </c>
      <c r="MW51">
        <f>MW50-MIN(MW50,MV51)</f>
        <v/>
      </c>
      <c r="MX51">
        <f>MV51-(MW50-MW51)</f>
        <v/>
      </c>
    </row>
    <row r="52">
      <c r="A52" t="inlineStr">
        <is>
          <t>slot 3</t>
        </is>
      </c>
      <c r="B52">
        <f>D26</f>
        <v/>
      </c>
      <c r="C52">
        <f>MAX(0,B52*(1+$E$26)-$F$26)</f>
        <v/>
      </c>
      <c r="D52">
        <f>D51-MIN(D51,C52)</f>
        <v/>
      </c>
      <c r="E52">
        <f>C52-(D51-D52)</f>
        <v/>
      </c>
      <c r="F52">
        <f>MAX(0,E52*(1+$E$26)-$F$26)</f>
        <v/>
      </c>
      <c r="G52">
        <f>G51-MIN(G51,F52)</f>
        <v/>
      </c>
      <c r="H52">
        <f>F52-(G51-G52)</f>
        <v/>
      </c>
      <c r="I52">
        <f>MAX(0,H52*(1+$E$26)-$F$26)</f>
        <v/>
      </c>
      <c r="J52">
        <f>J51-MIN(J51,I52)</f>
        <v/>
      </c>
      <c r="K52">
        <f>I52-(J51-J52)</f>
        <v/>
      </c>
      <c r="L52">
        <f>MAX(0,K52*(1+$E$26)-$F$26)</f>
        <v/>
      </c>
      <c r="M52">
        <f>M51-MIN(M51,L52)</f>
        <v/>
      </c>
      <c r="N52">
        <f>L52-(M51-M52)</f>
        <v/>
      </c>
      <c r="O52">
        <f>MAX(0,N52*(1+$E$26)-$F$26)</f>
        <v/>
      </c>
      <c r="P52">
        <f>P51-MIN(P51,O52)</f>
        <v/>
      </c>
      <c r="Q52">
        <f>O52-(P51-P52)</f>
        <v/>
      </c>
      <c r="R52">
        <f>MAX(0,Q52*(1+$E$26)-$F$26)</f>
        <v/>
      </c>
      <c r="S52">
        <f>S51-MIN(S51,R52)</f>
        <v/>
      </c>
      <c r="T52">
        <f>R52-(S51-S52)</f>
        <v/>
      </c>
      <c r="U52">
        <f>MAX(0,T52*(1+$E$26)-$F$26)</f>
        <v/>
      </c>
      <c r="V52">
        <f>V51-MIN(V51,U52)</f>
        <v/>
      </c>
      <c r="W52">
        <f>U52-(V51-V52)</f>
        <v/>
      </c>
      <c r="X52">
        <f>MAX(0,W52*(1+$E$26)-$F$26)</f>
        <v/>
      </c>
      <c r="Y52">
        <f>Y51-MIN(Y51,X52)</f>
        <v/>
      </c>
      <c r="Z52">
        <f>X52-(Y51-Y52)</f>
        <v/>
      </c>
      <c r="AA52">
        <f>MAX(0,Z52*(1+$E$26)-$F$26)</f>
        <v/>
      </c>
      <c r="AB52">
        <f>AB51-MIN(AB51,AA52)</f>
        <v/>
      </c>
      <c r="AC52">
        <f>AA52-(AB51-AB52)</f>
        <v/>
      </c>
      <c r="AD52">
        <f>MAX(0,AC52*(1+$E$26)-$F$26)</f>
        <v/>
      </c>
      <c r="AE52">
        <f>AE51-MIN(AE51,AD52)</f>
        <v/>
      </c>
      <c r="AF52">
        <f>AD52-(AE51-AE52)</f>
        <v/>
      </c>
      <c r="AG52">
        <f>MAX(0,AF52*(1+$E$26)-$F$26)</f>
        <v/>
      </c>
      <c r="AH52">
        <f>AH51-MIN(AH51,AG52)</f>
        <v/>
      </c>
      <c r="AI52">
        <f>AG52-(AH51-AH52)</f>
        <v/>
      </c>
      <c r="AJ52">
        <f>MAX(0,AI52*(1+$E$26)-$F$26)</f>
        <v/>
      </c>
      <c r="AK52">
        <f>AK51-MIN(AK51,AJ52)</f>
        <v/>
      </c>
      <c r="AL52">
        <f>AJ52-(AK51-AK52)</f>
        <v/>
      </c>
      <c r="AM52">
        <f>MAX(0,AL52*(1+$E$26)-$F$26)</f>
        <v/>
      </c>
      <c r="AN52">
        <f>AN51-MIN(AN51,AM52)</f>
        <v/>
      </c>
      <c r="AO52">
        <f>AM52-(AN51-AN52)</f>
        <v/>
      </c>
      <c r="AP52">
        <f>MAX(0,AO52*(1+$E$26)-$F$26)</f>
        <v/>
      </c>
      <c r="AQ52">
        <f>AQ51-MIN(AQ51,AP52)</f>
        <v/>
      </c>
      <c r="AR52">
        <f>AP52-(AQ51-AQ52)</f>
        <v/>
      </c>
      <c r="AS52">
        <f>MAX(0,AR52*(1+$E$26)-$F$26)</f>
        <v/>
      </c>
      <c r="AT52">
        <f>AT51-MIN(AT51,AS52)</f>
        <v/>
      </c>
      <c r="AU52">
        <f>AS52-(AT51-AT52)</f>
        <v/>
      </c>
      <c r="AV52">
        <f>MAX(0,AU52*(1+$E$26)-$F$26)</f>
        <v/>
      </c>
      <c r="AW52">
        <f>AW51-MIN(AW51,AV52)</f>
        <v/>
      </c>
      <c r="AX52">
        <f>AV52-(AW51-AW52)</f>
        <v/>
      </c>
      <c r="AY52">
        <f>MAX(0,AX52*(1+$E$26)-$F$26)</f>
        <v/>
      </c>
      <c r="AZ52">
        <f>AZ51-MIN(AZ51,AY52)</f>
        <v/>
      </c>
      <c r="BA52">
        <f>AY52-(AZ51-AZ52)</f>
        <v/>
      </c>
      <c r="BB52">
        <f>MAX(0,BA52*(1+$E$26)-$F$26)</f>
        <v/>
      </c>
      <c r="BC52">
        <f>BC51-MIN(BC51,BB52)</f>
        <v/>
      </c>
      <c r="BD52">
        <f>BB52-(BC51-BC52)</f>
        <v/>
      </c>
      <c r="BE52">
        <f>MAX(0,BD52*(1+$E$26)-$F$26)</f>
        <v/>
      </c>
      <c r="BF52">
        <f>BF51-MIN(BF51,BE52)</f>
        <v/>
      </c>
      <c r="BG52">
        <f>BE52-(BF51-BF52)</f>
        <v/>
      </c>
      <c r="BH52">
        <f>MAX(0,BG52*(1+$E$26)-$F$26)</f>
        <v/>
      </c>
      <c r="BI52">
        <f>BI51-MIN(BI51,BH52)</f>
        <v/>
      </c>
      <c r="BJ52">
        <f>BH52-(BI51-BI52)</f>
        <v/>
      </c>
      <c r="BK52">
        <f>MAX(0,BJ52*(1+$E$26)-$F$26)</f>
        <v/>
      </c>
      <c r="BL52">
        <f>BL51-MIN(BL51,BK52)</f>
        <v/>
      </c>
      <c r="BM52">
        <f>BK52-(BL51-BL52)</f>
        <v/>
      </c>
      <c r="BN52">
        <f>MAX(0,BM52*(1+$E$26)-$F$26)</f>
        <v/>
      </c>
      <c r="BO52">
        <f>BO51-MIN(BO51,BN52)</f>
        <v/>
      </c>
      <c r="BP52">
        <f>BN52-(BO51-BO52)</f>
        <v/>
      </c>
      <c r="BQ52">
        <f>MAX(0,BP52*(1+$E$26)-$F$26)</f>
        <v/>
      </c>
      <c r="BR52">
        <f>BR51-MIN(BR51,BQ52)</f>
        <v/>
      </c>
      <c r="BS52">
        <f>BQ52-(BR51-BR52)</f>
        <v/>
      </c>
      <c r="BT52">
        <f>MAX(0,BS52*(1+$E$26)-$F$26)</f>
        <v/>
      </c>
      <c r="BU52">
        <f>BU51-MIN(BU51,BT52)</f>
        <v/>
      </c>
      <c r="BV52">
        <f>BT52-(BU51-BU52)</f>
        <v/>
      </c>
      <c r="BW52">
        <f>MAX(0,BV52*(1+$E$26)-$F$26)</f>
        <v/>
      </c>
      <c r="BX52">
        <f>BX51-MIN(BX51,BW52)</f>
        <v/>
      </c>
      <c r="BY52">
        <f>BW52-(BX51-BX52)</f>
        <v/>
      </c>
      <c r="BZ52">
        <f>MAX(0,BY52*(1+$E$26)-$F$26)</f>
        <v/>
      </c>
      <c r="CA52">
        <f>CA51-MIN(CA51,BZ52)</f>
        <v/>
      </c>
      <c r="CB52">
        <f>BZ52-(CA51-CA52)</f>
        <v/>
      </c>
      <c r="CC52">
        <f>MAX(0,CB52*(1+$E$26)-$F$26)</f>
        <v/>
      </c>
      <c r="CD52">
        <f>CD51-MIN(CD51,CC52)</f>
        <v/>
      </c>
      <c r="CE52">
        <f>CC52-(CD51-CD52)</f>
        <v/>
      </c>
      <c r="CF52">
        <f>MAX(0,CE52*(1+$E$26)-$F$26)</f>
        <v/>
      </c>
      <c r="CG52">
        <f>CG51-MIN(CG51,CF52)</f>
        <v/>
      </c>
      <c r="CH52">
        <f>CF52-(CG51-CG52)</f>
        <v/>
      </c>
      <c r="CI52">
        <f>MAX(0,CH52*(1+$E$26)-$F$26)</f>
        <v/>
      </c>
      <c r="CJ52">
        <f>CJ51-MIN(CJ51,CI52)</f>
        <v/>
      </c>
      <c r="CK52">
        <f>CI52-(CJ51-CJ52)</f>
        <v/>
      </c>
      <c r="CL52">
        <f>MAX(0,CK52*(1+$E$26)-$F$26)</f>
        <v/>
      </c>
      <c r="CM52">
        <f>CM51-MIN(CM51,CL52)</f>
        <v/>
      </c>
      <c r="CN52">
        <f>CL52-(CM51-CM52)</f>
        <v/>
      </c>
      <c r="CO52">
        <f>MAX(0,CN52*(1+$E$26)-$F$26)</f>
        <v/>
      </c>
      <c r="CP52">
        <f>CP51-MIN(CP51,CO52)</f>
        <v/>
      </c>
      <c r="CQ52">
        <f>CO52-(CP51-CP52)</f>
        <v/>
      </c>
      <c r="CR52">
        <f>MAX(0,CQ52*(1+$E$26)-$F$26)</f>
        <v/>
      </c>
      <c r="CS52">
        <f>CS51-MIN(CS51,CR52)</f>
        <v/>
      </c>
      <c r="CT52">
        <f>CR52-(CS51-CS52)</f>
        <v/>
      </c>
      <c r="CU52">
        <f>MAX(0,CT52*(1+$E$26)-$F$26)</f>
        <v/>
      </c>
      <c r="CV52">
        <f>CV51-MIN(CV51,CU52)</f>
        <v/>
      </c>
      <c r="CW52">
        <f>CU52-(CV51-CV52)</f>
        <v/>
      </c>
      <c r="CX52">
        <f>MAX(0,CW52*(1+$E$26)-$F$26)</f>
        <v/>
      </c>
      <c r="CY52">
        <f>CY51-MIN(CY51,CX52)</f>
        <v/>
      </c>
      <c r="CZ52">
        <f>CX52-(CY51-CY52)</f>
        <v/>
      </c>
      <c r="DA52">
        <f>MAX(0,CZ52*(1+$E$26)-$F$26)</f>
        <v/>
      </c>
      <c r="DB52">
        <f>DB51-MIN(DB51,DA52)</f>
        <v/>
      </c>
      <c r="DC52">
        <f>DA52-(DB51-DB52)</f>
        <v/>
      </c>
      <c r="DD52">
        <f>MAX(0,DC52*(1+$E$26)-$F$26)</f>
        <v/>
      </c>
      <c r="DE52">
        <f>DE51-MIN(DE51,DD52)</f>
        <v/>
      </c>
      <c r="DF52">
        <f>DD52-(DE51-DE52)</f>
        <v/>
      </c>
      <c r="DG52">
        <f>MAX(0,DF52*(1+$E$26)-$F$26)</f>
        <v/>
      </c>
      <c r="DH52">
        <f>DH51-MIN(DH51,DG52)</f>
        <v/>
      </c>
      <c r="DI52">
        <f>DG52-(DH51-DH52)</f>
        <v/>
      </c>
      <c r="DJ52">
        <f>MAX(0,DI52*(1+$E$26)-$F$26)</f>
        <v/>
      </c>
      <c r="DK52">
        <f>DK51-MIN(DK51,DJ52)</f>
        <v/>
      </c>
      <c r="DL52">
        <f>DJ52-(DK51-DK52)</f>
        <v/>
      </c>
      <c r="DM52">
        <f>MAX(0,DL52*(1+$E$26)-$F$26)</f>
        <v/>
      </c>
      <c r="DN52">
        <f>DN51-MIN(DN51,DM52)</f>
        <v/>
      </c>
      <c r="DO52">
        <f>DM52-(DN51-DN52)</f>
        <v/>
      </c>
      <c r="DP52">
        <f>MAX(0,DO52*(1+$E$26)-$F$26)</f>
        <v/>
      </c>
      <c r="DQ52">
        <f>DQ51-MIN(DQ51,DP52)</f>
        <v/>
      </c>
      <c r="DR52">
        <f>DP52-(DQ51-DQ52)</f>
        <v/>
      </c>
      <c r="DS52">
        <f>MAX(0,DR52*(1+$E$26)-$F$26)</f>
        <v/>
      </c>
      <c r="DT52">
        <f>DT51-MIN(DT51,DS52)</f>
        <v/>
      </c>
      <c r="DU52">
        <f>DS52-(DT51-DT52)</f>
        <v/>
      </c>
      <c r="DV52">
        <f>MAX(0,DU52*(1+$E$26)-$F$26)</f>
        <v/>
      </c>
      <c r="DW52">
        <f>DW51-MIN(DW51,DV52)</f>
        <v/>
      </c>
      <c r="DX52">
        <f>DV52-(DW51-DW52)</f>
        <v/>
      </c>
      <c r="DY52">
        <f>MAX(0,DX52*(1+$E$26)-$F$26)</f>
        <v/>
      </c>
      <c r="DZ52">
        <f>DZ51-MIN(DZ51,DY52)</f>
        <v/>
      </c>
      <c r="EA52">
        <f>DY52-(DZ51-DZ52)</f>
        <v/>
      </c>
      <c r="EB52">
        <f>MAX(0,EA52*(1+$E$26)-$F$26)</f>
        <v/>
      </c>
      <c r="EC52">
        <f>EC51-MIN(EC51,EB52)</f>
        <v/>
      </c>
      <c r="ED52">
        <f>EB52-(EC51-EC52)</f>
        <v/>
      </c>
      <c r="EE52">
        <f>MAX(0,ED52*(1+$E$26)-$F$26)</f>
        <v/>
      </c>
      <c r="EF52">
        <f>EF51-MIN(EF51,EE52)</f>
        <v/>
      </c>
      <c r="EG52">
        <f>EE52-(EF51-EF52)</f>
        <v/>
      </c>
      <c r="EH52">
        <f>MAX(0,EG52*(1+$E$26)-$F$26)</f>
        <v/>
      </c>
      <c r="EI52">
        <f>EI51-MIN(EI51,EH52)</f>
        <v/>
      </c>
      <c r="EJ52">
        <f>EH52-(EI51-EI52)</f>
        <v/>
      </c>
      <c r="EK52">
        <f>MAX(0,EJ52*(1+$E$26)-$F$26)</f>
        <v/>
      </c>
      <c r="EL52">
        <f>EL51-MIN(EL51,EK52)</f>
        <v/>
      </c>
      <c r="EM52">
        <f>EK52-(EL51-EL52)</f>
        <v/>
      </c>
      <c r="EN52">
        <f>MAX(0,EM52*(1+$E$26)-$F$26)</f>
        <v/>
      </c>
      <c r="EO52">
        <f>EO51-MIN(EO51,EN52)</f>
        <v/>
      </c>
      <c r="EP52">
        <f>EN52-(EO51-EO52)</f>
        <v/>
      </c>
      <c r="EQ52">
        <f>MAX(0,EP52*(1+$E$26)-$F$26)</f>
        <v/>
      </c>
      <c r="ER52">
        <f>ER51-MIN(ER51,EQ52)</f>
        <v/>
      </c>
      <c r="ES52">
        <f>EQ52-(ER51-ER52)</f>
        <v/>
      </c>
      <c r="ET52">
        <f>MAX(0,ES52*(1+$E$26)-$F$26)</f>
        <v/>
      </c>
      <c r="EU52">
        <f>EU51-MIN(EU51,ET52)</f>
        <v/>
      </c>
      <c r="EV52">
        <f>ET52-(EU51-EU52)</f>
        <v/>
      </c>
      <c r="EW52">
        <f>MAX(0,EV52*(1+$E$26)-$F$26)</f>
        <v/>
      </c>
      <c r="EX52">
        <f>EX51-MIN(EX51,EW52)</f>
        <v/>
      </c>
      <c r="EY52">
        <f>EW52-(EX51-EX52)</f>
        <v/>
      </c>
      <c r="EZ52">
        <f>MAX(0,EY52*(1+$E$26)-$F$26)</f>
        <v/>
      </c>
      <c r="FA52">
        <f>FA51-MIN(FA51,EZ52)</f>
        <v/>
      </c>
      <c r="FB52">
        <f>EZ52-(FA51-FA52)</f>
        <v/>
      </c>
      <c r="FC52">
        <f>MAX(0,FB52*(1+$E$26)-$F$26)</f>
        <v/>
      </c>
      <c r="FD52">
        <f>FD51-MIN(FD51,FC52)</f>
        <v/>
      </c>
      <c r="FE52">
        <f>FC52-(FD51-FD52)</f>
        <v/>
      </c>
      <c r="FF52">
        <f>MAX(0,FE52*(1+$E$26)-$F$26)</f>
        <v/>
      </c>
      <c r="FG52">
        <f>FG51-MIN(FG51,FF52)</f>
        <v/>
      </c>
      <c r="FH52">
        <f>FF52-(FG51-FG52)</f>
        <v/>
      </c>
      <c r="FI52">
        <f>MAX(0,FH52*(1+$E$26)-$F$26)</f>
        <v/>
      </c>
      <c r="FJ52">
        <f>FJ51-MIN(FJ51,FI52)</f>
        <v/>
      </c>
      <c r="FK52">
        <f>FI52-(FJ51-FJ52)</f>
        <v/>
      </c>
      <c r="FL52">
        <f>MAX(0,FK52*(1+$E$26)-$F$26)</f>
        <v/>
      </c>
      <c r="FM52">
        <f>FM51-MIN(FM51,FL52)</f>
        <v/>
      </c>
      <c r="FN52">
        <f>FL52-(FM51-FM52)</f>
        <v/>
      </c>
      <c r="FO52">
        <f>MAX(0,FN52*(1+$E$26)-$F$26)</f>
        <v/>
      </c>
      <c r="FP52">
        <f>FP51-MIN(FP51,FO52)</f>
        <v/>
      </c>
      <c r="FQ52">
        <f>FO52-(FP51-FP52)</f>
        <v/>
      </c>
      <c r="FR52">
        <f>MAX(0,FQ52*(1+$E$26)-$F$26)</f>
        <v/>
      </c>
      <c r="FS52">
        <f>FS51-MIN(FS51,FR52)</f>
        <v/>
      </c>
      <c r="FT52">
        <f>FR52-(FS51-FS52)</f>
        <v/>
      </c>
      <c r="FU52">
        <f>MAX(0,FT52*(1+$E$26)-$F$26)</f>
        <v/>
      </c>
      <c r="FV52">
        <f>FV51-MIN(FV51,FU52)</f>
        <v/>
      </c>
      <c r="FW52">
        <f>FU52-(FV51-FV52)</f>
        <v/>
      </c>
      <c r="FX52">
        <f>MAX(0,FW52*(1+$E$26)-$F$26)</f>
        <v/>
      </c>
      <c r="FY52">
        <f>FY51-MIN(FY51,FX52)</f>
        <v/>
      </c>
      <c r="FZ52">
        <f>FX52-(FY51-FY52)</f>
        <v/>
      </c>
      <c r="GA52">
        <f>MAX(0,FZ52*(1+$E$26)-$F$26)</f>
        <v/>
      </c>
      <c r="GB52">
        <f>GB51-MIN(GB51,GA52)</f>
        <v/>
      </c>
      <c r="GC52">
        <f>GA52-(GB51-GB52)</f>
        <v/>
      </c>
      <c r="GD52">
        <f>MAX(0,GC52*(1+$E$26)-$F$26)</f>
        <v/>
      </c>
      <c r="GE52">
        <f>GE51-MIN(GE51,GD52)</f>
        <v/>
      </c>
      <c r="GF52">
        <f>GD52-(GE51-GE52)</f>
        <v/>
      </c>
      <c r="GG52">
        <f>MAX(0,GF52*(1+$E$26)-$F$26)</f>
        <v/>
      </c>
      <c r="GH52">
        <f>GH51-MIN(GH51,GG52)</f>
        <v/>
      </c>
      <c r="GI52">
        <f>GG52-(GH51-GH52)</f>
        <v/>
      </c>
      <c r="GJ52">
        <f>MAX(0,GI52*(1+$E$26)-$F$26)</f>
        <v/>
      </c>
      <c r="GK52">
        <f>GK51-MIN(GK51,GJ52)</f>
        <v/>
      </c>
      <c r="GL52">
        <f>GJ52-(GK51-GK52)</f>
        <v/>
      </c>
      <c r="GM52">
        <f>MAX(0,GL52*(1+$E$26)-$F$26)</f>
        <v/>
      </c>
      <c r="GN52">
        <f>GN51-MIN(GN51,GM52)</f>
        <v/>
      </c>
      <c r="GO52">
        <f>GM52-(GN51-GN52)</f>
        <v/>
      </c>
      <c r="GP52">
        <f>MAX(0,GO52*(1+$E$26)-$F$26)</f>
        <v/>
      </c>
      <c r="GQ52">
        <f>GQ51-MIN(GQ51,GP52)</f>
        <v/>
      </c>
      <c r="GR52">
        <f>GP52-(GQ51-GQ52)</f>
        <v/>
      </c>
      <c r="GS52">
        <f>MAX(0,GR52*(1+$E$26)-$F$26)</f>
        <v/>
      </c>
      <c r="GT52">
        <f>GT51-MIN(GT51,GS52)</f>
        <v/>
      </c>
      <c r="GU52">
        <f>GS52-(GT51-GT52)</f>
        <v/>
      </c>
      <c r="GV52">
        <f>MAX(0,GU52*(1+$E$26)-$F$26)</f>
        <v/>
      </c>
      <c r="GW52">
        <f>GW51-MIN(GW51,GV52)</f>
        <v/>
      </c>
      <c r="GX52">
        <f>GV52-(GW51-GW52)</f>
        <v/>
      </c>
      <c r="GY52">
        <f>MAX(0,GX52*(1+$E$26)-$F$26)</f>
        <v/>
      </c>
      <c r="GZ52">
        <f>GZ51-MIN(GZ51,GY52)</f>
        <v/>
      </c>
      <c r="HA52">
        <f>GY52-(GZ51-GZ52)</f>
        <v/>
      </c>
      <c r="HB52">
        <f>MAX(0,HA52*(1+$E$26)-$F$26)</f>
        <v/>
      </c>
      <c r="HC52">
        <f>HC51-MIN(HC51,HB52)</f>
        <v/>
      </c>
      <c r="HD52">
        <f>HB52-(HC51-HC52)</f>
        <v/>
      </c>
      <c r="HE52">
        <f>MAX(0,HD52*(1+$E$26)-$F$26)</f>
        <v/>
      </c>
      <c r="HF52">
        <f>HF51-MIN(HF51,HE52)</f>
        <v/>
      </c>
      <c r="HG52">
        <f>HE52-(HF51-HF52)</f>
        <v/>
      </c>
      <c r="HH52">
        <f>MAX(0,HG52*(1+$E$26)-$F$26)</f>
        <v/>
      </c>
      <c r="HI52">
        <f>HI51-MIN(HI51,HH52)</f>
        <v/>
      </c>
      <c r="HJ52">
        <f>HH52-(HI51-HI52)</f>
        <v/>
      </c>
      <c r="HK52">
        <f>MAX(0,HJ52*(1+$E$26)-$F$26)</f>
        <v/>
      </c>
      <c r="HL52">
        <f>HL51-MIN(HL51,HK52)</f>
        <v/>
      </c>
      <c r="HM52">
        <f>HK52-(HL51-HL52)</f>
        <v/>
      </c>
      <c r="HN52">
        <f>MAX(0,HM52*(1+$E$26)-$F$26)</f>
        <v/>
      </c>
      <c r="HO52">
        <f>HO51-MIN(HO51,HN52)</f>
        <v/>
      </c>
      <c r="HP52">
        <f>HN52-(HO51-HO52)</f>
        <v/>
      </c>
      <c r="HQ52">
        <f>MAX(0,HP52*(1+$E$26)-$F$26)</f>
        <v/>
      </c>
      <c r="HR52">
        <f>HR51-MIN(HR51,HQ52)</f>
        <v/>
      </c>
      <c r="HS52">
        <f>HQ52-(HR51-HR52)</f>
        <v/>
      </c>
      <c r="HT52">
        <f>MAX(0,HS52*(1+$E$26)-$F$26)</f>
        <v/>
      </c>
      <c r="HU52">
        <f>HU51-MIN(HU51,HT52)</f>
        <v/>
      </c>
      <c r="HV52">
        <f>HT52-(HU51-HU52)</f>
        <v/>
      </c>
      <c r="HW52">
        <f>MAX(0,HV52*(1+$E$26)-$F$26)</f>
        <v/>
      </c>
      <c r="HX52">
        <f>HX51-MIN(HX51,HW52)</f>
        <v/>
      </c>
      <c r="HY52">
        <f>HW52-(HX51-HX52)</f>
        <v/>
      </c>
      <c r="HZ52">
        <f>MAX(0,HY52*(1+$E$26)-$F$26)</f>
        <v/>
      </c>
      <c r="IA52">
        <f>IA51-MIN(IA51,HZ52)</f>
        <v/>
      </c>
      <c r="IB52">
        <f>HZ52-(IA51-IA52)</f>
        <v/>
      </c>
      <c r="IC52">
        <f>MAX(0,IB52*(1+$E$26)-$F$26)</f>
        <v/>
      </c>
      <c r="ID52">
        <f>ID51-MIN(ID51,IC52)</f>
        <v/>
      </c>
      <c r="IE52">
        <f>IC52-(ID51-ID52)</f>
        <v/>
      </c>
      <c r="IF52">
        <f>MAX(0,IE52*(1+$E$26)-$F$26)</f>
        <v/>
      </c>
      <c r="IG52">
        <f>IG51-MIN(IG51,IF52)</f>
        <v/>
      </c>
      <c r="IH52">
        <f>IF52-(IG51-IG52)</f>
        <v/>
      </c>
      <c r="II52">
        <f>MAX(0,IH52*(1+$E$26)-$F$26)</f>
        <v/>
      </c>
      <c r="IJ52">
        <f>IJ51-MIN(IJ51,II52)</f>
        <v/>
      </c>
      <c r="IK52">
        <f>II52-(IJ51-IJ52)</f>
        <v/>
      </c>
      <c r="IL52">
        <f>MAX(0,IK52*(1+$E$26)-$F$26)</f>
        <v/>
      </c>
      <c r="IM52">
        <f>IM51-MIN(IM51,IL52)</f>
        <v/>
      </c>
      <c r="IN52">
        <f>IL52-(IM51-IM52)</f>
        <v/>
      </c>
      <c r="IO52">
        <f>MAX(0,IN52*(1+$E$26)-$F$26)</f>
        <v/>
      </c>
      <c r="IP52">
        <f>IP51-MIN(IP51,IO52)</f>
        <v/>
      </c>
      <c r="IQ52">
        <f>IO52-(IP51-IP52)</f>
        <v/>
      </c>
      <c r="IR52">
        <f>MAX(0,IQ52*(1+$E$26)-$F$26)</f>
        <v/>
      </c>
      <c r="IS52">
        <f>IS51-MIN(IS51,IR52)</f>
        <v/>
      </c>
      <c r="IT52">
        <f>IR52-(IS51-IS52)</f>
        <v/>
      </c>
      <c r="IU52">
        <f>MAX(0,IT52*(1+$E$26)-$F$26)</f>
        <v/>
      </c>
      <c r="IV52">
        <f>IV51-MIN(IV51,IU52)</f>
        <v/>
      </c>
      <c r="IW52">
        <f>IU52-(IV51-IV52)</f>
        <v/>
      </c>
      <c r="IX52">
        <f>MAX(0,IW52*(1+$E$26)-$F$26)</f>
        <v/>
      </c>
      <c r="IY52">
        <f>IY51-MIN(IY51,IX52)</f>
        <v/>
      </c>
      <c r="IZ52">
        <f>IX52-(IY51-IY52)</f>
        <v/>
      </c>
      <c r="JA52">
        <f>MAX(0,IZ52*(1+$E$26)-$F$26)</f>
        <v/>
      </c>
      <c r="JB52">
        <f>JB51-MIN(JB51,JA52)</f>
        <v/>
      </c>
      <c r="JC52">
        <f>JA52-(JB51-JB52)</f>
        <v/>
      </c>
      <c r="JD52">
        <f>MAX(0,JC52*(1+$E$26)-$F$26)</f>
        <v/>
      </c>
      <c r="JE52">
        <f>JE51-MIN(JE51,JD52)</f>
        <v/>
      </c>
      <c r="JF52">
        <f>JD52-(JE51-JE52)</f>
        <v/>
      </c>
      <c r="JG52">
        <f>MAX(0,JF52*(1+$E$26)-$F$26)</f>
        <v/>
      </c>
      <c r="JH52">
        <f>JH51-MIN(JH51,JG52)</f>
        <v/>
      </c>
      <c r="JI52">
        <f>JG52-(JH51-JH52)</f>
        <v/>
      </c>
      <c r="JJ52">
        <f>MAX(0,JI52*(1+$E$26)-$F$26)</f>
        <v/>
      </c>
      <c r="JK52">
        <f>JK51-MIN(JK51,JJ52)</f>
        <v/>
      </c>
      <c r="JL52">
        <f>JJ52-(JK51-JK52)</f>
        <v/>
      </c>
      <c r="JM52">
        <f>MAX(0,JL52*(1+$E$26)-$F$26)</f>
        <v/>
      </c>
      <c r="JN52">
        <f>JN51-MIN(JN51,JM52)</f>
        <v/>
      </c>
      <c r="JO52">
        <f>JM52-(JN51-JN52)</f>
        <v/>
      </c>
      <c r="JP52">
        <f>MAX(0,JO52*(1+$E$26)-$F$26)</f>
        <v/>
      </c>
      <c r="JQ52">
        <f>JQ51-MIN(JQ51,JP52)</f>
        <v/>
      </c>
      <c r="JR52">
        <f>JP52-(JQ51-JQ52)</f>
        <v/>
      </c>
      <c r="JS52">
        <f>MAX(0,JR52*(1+$E$26)-$F$26)</f>
        <v/>
      </c>
      <c r="JT52">
        <f>JT51-MIN(JT51,JS52)</f>
        <v/>
      </c>
      <c r="JU52">
        <f>JS52-(JT51-JT52)</f>
        <v/>
      </c>
      <c r="JV52">
        <f>MAX(0,JU52*(1+$E$26)-$F$26)</f>
        <v/>
      </c>
      <c r="JW52">
        <f>JW51-MIN(JW51,JV52)</f>
        <v/>
      </c>
      <c r="JX52">
        <f>JV52-(JW51-JW52)</f>
        <v/>
      </c>
      <c r="JY52">
        <f>MAX(0,JX52*(1+$E$26)-$F$26)</f>
        <v/>
      </c>
      <c r="JZ52">
        <f>JZ51-MIN(JZ51,JY52)</f>
        <v/>
      </c>
      <c r="KA52">
        <f>JY52-(JZ51-JZ52)</f>
        <v/>
      </c>
      <c r="KB52">
        <f>MAX(0,KA52*(1+$E$26)-$F$26)</f>
        <v/>
      </c>
      <c r="KC52">
        <f>KC51-MIN(KC51,KB52)</f>
        <v/>
      </c>
      <c r="KD52">
        <f>KB52-(KC51-KC52)</f>
        <v/>
      </c>
      <c r="KE52">
        <f>MAX(0,KD52*(1+$E$26)-$F$26)</f>
        <v/>
      </c>
      <c r="KF52">
        <f>KF51-MIN(KF51,KE52)</f>
        <v/>
      </c>
      <c r="KG52">
        <f>KE52-(KF51-KF52)</f>
        <v/>
      </c>
      <c r="KH52">
        <f>MAX(0,KG52*(1+$E$26)-$F$26)</f>
        <v/>
      </c>
      <c r="KI52">
        <f>KI51-MIN(KI51,KH52)</f>
        <v/>
      </c>
      <c r="KJ52">
        <f>KH52-(KI51-KI52)</f>
        <v/>
      </c>
      <c r="KK52">
        <f>MAX(0,KJ52*(1+$E$26)-$F$26)</f>
        <v/>
      </c>
      <c r="KL52">
        <f>KL51-MIN(KL51,KK52)</f>
        <v/>
      </c>
      <c r="KM52">
        <f>KK52-(KL51-KL52)</f>
        <v/>
      </c>
      <c r="KN52">
        <f>MAX(0,KM52*(1+$E$26)-$F$26)</f>
        <v/>
      </c>
      <c r="KO52">
        <f>KO51-MIN(KO51,KN52)</f>
        <v/>
      </c>
      <c r="KP52">
        <f>KN52-(KO51-KO52)</f>
        <v/>
      </c>
      <c r="KQ52">
        <f>MAX(0,KP52*(1+$E$26)-$F$26)</f>
        <v/>
      </c>
      <c r="KR52">
        <f>KR51-MIN(KR51,KQ52)</f>
        <v/>
      </c>
      <c r="KS52">
        <f>KQ52-(KR51-KR52)</f>
        <v/>
      </c>
      <c r="KT52">
        <f>MAX(0,KS52*(1+$E$26)-$F$26)</f>
        <v/>
      </c>
      <c r="KU52">
        <f>KU51-MIN(KU51,KT52)</f>
        <v/>
      </c>
      <c r="KV52">
        <f>KT52-(KU51-KU52)</f>
        <v/>
      </c>
      <c r="KW52">
        <f>MAX(0,KV52*(1+$E$26)-$F$26)</f>
        <v/>
      </c>
      <c r="KX52">
        <f>KX51-MIN(KX51,KW52)</f>
        <v/>
      </c>
      <c r="KY52">
        <f>KW52-(KX51-KX52)</f>
        <v/>
      </c>
      <c r="KZ52">
        <f>MAX(0,KY52*(1+$E$26)-$F$26)</f>
        <v/>
      </c>
      <c r="LA52">
        <f>LA51-MIN(LA51,KZ52)</f>
        <v/>
      </c>
      <c r="LB52">
        <f>KZ52-(LA51-LA52)</f>
        <v/>
      </c>
      <c r="LC52">
        <f>MAX(0,LB52*(1+$E$26)-$F$26)</f>
        <v/>
      </c>
      <c r="LD52">
        <f>LD51-MIN(LD51,LC52)</f>
        <v/>
      </c>
      <c r="LE52">
        <f>LC52-(LD51-LD52)</f>
        <v/>
      </c>
      <c r="LF52">
        <f>MAX(0,LE52*(1+$E$26)-$F$26)</f>
        <v/>
      </c>
      <c r="LG52">
        <f>LG51-MIN(LG51,LF52)</f>
        <v/>
      </c>
      <c r="LH52">
        <f>LF52-(LG51-LG52)</f>
        <v/>
      </c>
      <c r="LI52">
        <f>MAX(0,LH52*(1+$E$26)-$F$26)</f>
        <v/>
      </c>
      <c r="LJ52">
        <f>LJ51-MIN(LJ51,LI52)</f>
        <v/>
      </c>
      <c r="LK52">
        <f>LI52-(LJ51-LJ52)</f>
        <v/>
      </c>
      <c r="LL52">
        <f>MAX(0,LK52*(1+$E$26)-$F$26)</f>
        <v/>
      </c>
      <c r="LM52">
        <f>LM51-MIN(LM51,LL52)</f>
        <v/>
      </c>
      <c r="LN52">
        <f>LL52-(LM51-LM52)</f>
        <v/>
      </c>
      <c r="LO52">
        <f>MAX(0,LN52*(1+$E$26)-$F$26)</f>
        <v/>
      </c>
      <c r="LP52">
        <f>LP51-MIN(LP51,LO52)</f>
        <v/>
      </c>
      <c r="LQ52">
        <f>LO52-(LP51-LP52)</f>
        <v/>
      </c>
      <c r="LR52">
        <f>MAX(0,LQ52*(1+$E$26)-$F$26)</f>
        <v/>
      </c>
      <c r="LS52">
        <f>LS51-MIN(LS51,LR52)</f>
        <v/>
      </c>
      <c r="LT52">
        <f>LR52-(LS51-LS52)</f>
        <v/>
      </c>
      <c r="LU52">
        <f>MAX(0,LT52*(1+$E$26)-$F$26)</f>
        <v/>
      </c>
      <c r="LV52">
        <f>LV51-MIN(LV51,LU52)</f>
        <v/>
      </c>
      <c r="LW52">
        <f>LU52-(LV51-LV52)</f>
        <v/>
      </c>
      <c r="LX52">
        <f>MAX(0,LW52*(1+$E$26)-$F$26)</f>
        <v/>
      </c>
      <c r="LY52">
        <f>LY51-MIN(LY51,LX52)</f>
        <v/>
      </c>
      <c r="LZ52">
        <f>LX52-(LY51-LY52)</f>
        <v/>
      </c>
      <c r="MA52">
        <f>MAX(0,LZ52*(1+$E$26)-$F$26)</f>
        <v/>
      </c>
      <c r="MB52">
        <f>MB51-MIN(MB51,MA52)</f>
        <v/>
      </c>
      <c r="MC52">
        <f>MA52-(MB51-MB52)</f>
        <v/>
      </c>
      <c r="MD52">
        <f>MAX(0,MC52*(1+$E$26)-$F$26)</f>
        <v/>
      </c>
      <c r="ME52">
        <f>ME51-MIN(ME51,MD52)</f>
        <v/>
      </c>
      <c r="MF52">
        <f>MD52-(ME51-ME52)</f>
        <v/>
      </c>
      <c r="MG52">
        <f>MAX(0,MF52*(1+$E$26)-$F$26)</f>
        <v/>
      </c>
      <c r="MH52">
        <f>MH51-MIN(MH51,MG52)</f>
        <v/>
      </c>
      <c r="MI52">
        <f>MG52-(MH51-MH52)</f>
        <v/>
      </c>
      <c r="MJ52">
        <f>MAX(0,MI52*(1+$E$26)-$F$26)</f>
        <v/>
      </c>
      <c r="MK52">
        <f>MK51-MIN(MK51,MJ52)</f>
        <v/>
      </c>
      <c r="ML52">
        <f>MJ52-(MK51-MK52)</f>
        <v/>
      </c>
      <c r="MM52">
        <f>MAX(0,ML52*(1+$E$26)-$F$26)</f>
        <v/>
      </c>
      <c r="MN52">
        <f>MN51-MIN(MN51,MM52)</f>
        <v/>
      </c>
      <c r="MO52">
        <f>MM52-(MN51-MN52)</f>
        <v/>
      </c>
      <c r="MP52">
        <f>MAX(0,MO52*(1+$E$26)-$F$26)</f>
        <v/>
      </c>
      <c r="MQ52">
        <f>MQ51-MIN(MQ51,MP52)</f>
        <v/>
      </c>
      <c r="MR52">
        <f>MP52-(MQ51-MQ52)</f>
        <v/>
      </c>
      <c r="MS52">
        <f>MAX(0,MR52*(1+$E$26)-$F$26)</f>
        <v/>
      </c>
      <c r="MT52">
        <f>MT51-MIN(MT51,MS52)</f>
        <v/>
      </c>
      <c r="MU52">
        <f>MS52-(MT51-MT52)</f>
        <v/>
      </c>
      <c r="MV52">
        <f>MAX(0,MU52*(1+$E$26)-$F$26)</f>
        <v/>
      </c>
      <c r="MW52">
        <f>MW51-MIN(MW51,MV52)</f>
        <v/>
      </c>
      <c r="MX52">
        <f>MV52-(MW51-MW52)</f>
        <v/>
      </c>
    </row>
    <row r="53">
      <c r="A53" t="inlineStr">
        <is>
          <t>slot 4</t>
        </is>
      </c>
      <c r="B53">
        <f>D27</f>
        <v/>
      </c>
      <c r="C53">
        <f>MAX(0,B53*(1+$E$27)-$F$27)</f>
        <v/>
      </c>
      <c r="D53">
        <f>D52-MIN(D52,C53)</f>
        <v/>
      </c>
      <c r="E53">
        <f>C53-(D52-D53)</f>
        <v/>
      </c>
      <c r="F53">
        <f>MAX(0,E53*(1+$E$27)-$F$27)</f>
        <v/>
      </c>
      <c r="G53">
        <f>G52-MIN(G52,F53)</f>
        <v/>
      </c>
      <c r="H53">
        <f>F53-(G52-G53)</f>
        <v/>
      </c>
      <c r="I53">
        <f>MAX(0,H53*(1+$E$27)-$F$27)</f>
        <v/>
      </c>
      <c r="J53">
        <f>J52-MIN(J52,I53)</f>
        <v/>
      </c>
      <c r="K53">
        <f>I53-(J52-J53)</f>
        <v/>
      </c>
      <c r="L53">
        <f>MAX(0,K53*(1+$E$27)-$F$27)</f>
        <v/>
      </c>
      <c r="M53">
        <f>M52-MIN(M52,L53)</f>
        <v/>
      </c>
      <c r="N53">
        <f>L53-(M52-M53)</f>
        <v/>
      </c>
      <c r="O53">
        <f>MAX(0,N53*(1+$E$27)-$F$27)</f>
        <v/>
      </c>
      <c r="P53">
        <f>P52-MIN(P52,O53)</f>
        <v/>
      </c>
      <c r="Q53">
        <f>O53-(P52-P53)</f>
        <v/>
      </c>
      <c r="R53">
        <f>MAX(0,Q53*(1+$E$27)-$F$27)</f>
        <v/>
      </c>
      <c r="S53">
        <f>S52-MIN(S52,R53)</f>
        <v/>
      </c>
      <c r="T53">
        <f>R53-(S52-S53)</f>
        <v/>
      </c>
      <c r="U53">
        <f>MAX(0,T53*(1+$E$27)-$F$27)</f>
        <v/>
      </c>
      <c r="V53">
        <f>V52-MIN(V52,U53)</f>
        <v/>
      </c>
      <c r="W53">
        <f>U53-(V52-V53)</f>
        <v/>
      </c>
      <c r="X53">
        <f>MAX(0,W53*(1+$E$27)-$F$27)</f>
        <v/>
      </c>
      <c r="Y53">
        <f>Y52-MIN(Y52,X53)</f>
        <v/>
      </c>
      <c r="Z53">
        <f>X53-(Y52-Y53)</f>
        <v/>
      </c>
      <c r="AA53">
        <f>MAX(0,Z53*(1+$E$27)-$F$27)</f>
        <v/>
      </c>
      <c r="AB53">
        <f>AB52-MIN(AB52,AA53)</f>
        <v/>
      </c>
      <c r="AC53">
        <f>AA53-(AB52-AB53)</f>
        <v/>
      </c>
      <c r="AD53">
        <f>MAX(0,AC53*(1+$E$27)-$F$27)</f>
        <v/>
      </c>
      <c r="AE53">
        <f>AE52-MIN(AE52,AD53)</f>
        <v/>
      </c>
      <c r="AF53">
        <f>AD53-(AE52-AE53)</f>
        <v/>
      </c>
      <c r="AG53">
        <f>MAX(0,AF53*(1+$E$27)-$F$27)</f>
        <v/>
      </c>
      <c r="AH53">
        <f>AH52-MIN(AH52,AG53)</f>
        <v/>
      </c>
      <c r="AI53">
        <f>AG53-(AH52-AH53)</f>
        <v/>
      </c>
      <c r="AJ53">
        <f>MAX(0,AI53*(1+$E$27)-$F$27)</f>
        <v/>
      </c>
      <c r="AK53">
        <f>AK52-MIN(AK52,AJ53)</f>
        <v/>
      </c>
      <c r="AL53">
        <f>AJ53-(AK52-AK53)</f>
        <v/>
      </c>
      <c r="AM53">
        <f>MAX(0,AL53*(1+$E$27)-$F$27)</f>
        <v/>
      </c>
      <c r="AN53">
        <f>AN52-MIN(AN52,AM53)</f>
        <v/>
      </c>
      <c r="AO53">
        <f>AM53-(AN52-AN53)</f>
        <v/>
      </c>
      <c r="AP53">
        <f>MAX(0,AO53*(1+$E$27)-$F$27)</f>
        <v/>
      </c>
      <c r="AQ53">
        <f>AQ52-MIN(AQ52,AP53)</f>
        <v/>
      </c>
      <c r="AR53">
        <f>AP53-(AQ52-AQ53)</f>
        <v/>
      </c>
      <c r="AS53">
        <f>MAX(0,AR53*(1+$E$27)-$F$27)</f>
        <v/>
      </c>
      <c r="AT53">
        <f>AT52-MIN(AT52,AS53)</f>
        <v/>
      </c>
      <c r="AU53">
        <f>AS53-(AT52-AT53)</f>
        <v/>
      </c>
      <c r="AV53">
        <f>MAX(0,AU53*(1+$E$27)-$F$27)</f>
        <v/>
      </c>
      <c r="AW53">
        <f>AW52-MIN(AW52,AV53)</f>
        <v/>
      </c>
      <c r="AX53">
        <f>AV53-(AW52-AW53)</f>
        <v/>
      </c>
      <c r="AY53">
        <f>MAX(0,AX53*(1+$E$27)-$F$27)</f>
        <v/>
      </c>
      <c r="AZ53">
        <f>AZ52-MIN(AZ52,AY53)</f>
        <v/>
      </c>
      <c r="BA53">
        <f>AY53-(AZ52-AZ53)</f>
        <v/>
      </c>
      <c r="BB53">
        <f>MAX(0,BA53*(1+$E$27)-$F$27)</f>
        <v/>
      </c>
      <c r="BC53">
        <f>BC52-MIN(BC52,BB53)</f>
        <v/>
      </c>
      <c r="BD53">
        <f>BB53-(BC52-BC53)</f>
        <v/>
      </c>
      <c r="BE53">
        <f>MAX(0,BD53*(1+$E$27)-$F$27)</f>
        <v/>
      </c>
      <c r="BF53">
        <f>BF52-MIN(BF52,BE53)</f>
        <v/>
      </c>
      <c r="BG53">
        <f>BE53-(BF52-BF53)</f>
        <v/>
      </c>
      <c r="BH53">
        <f>MAX(0,BG53*(1+$E$27)-$F$27)</f>
        <v/>
      </c>
      <c r="BI53">
        <f>BI52-MIN(BI52,BH53)</f>
        <v/>
      </c>
      <c r="BJ53">
        <f>BH53-(BI52-BI53)</f>
        <v/>
      </c>
      <c r="BK53">
        <f>MAX(0,BJ53*(1+$E$27)-$F$27)</f>
        <v/>
      </c>
      <c r="BL53">
        <f>BL52-MIN(BL52,BK53)</f>
        <v/>
      </c>
      <c r="BM53">
        <f>BK53-(BL52-BL53)</f>
        <v/>
      </c>
      <c r="BN53">
        <f>MAX(0,BM53*(1+$E$27)-$F$27)</f>
        <v/>
      </c>
      <c r="BO53">
        <f>BO52-MIN(BO52,BN53)</f>
        <v/>
      </c>
      <c r="BP53">
        <f>BN53-(BO52-BO53)</f>
        <v/>
      </c>
      <c r="BQ53">
        <f>MAX(0,BP53*(1+$E$27)-$F$27)</f>
        <v/>
      </c>
      <c r="BR53">
        <f>BR52-MIN(BR52,BQ53)</f>
        <v/>
      </c>
      <c r="BS53">
        <f>BQ53-(BR52-BR53)</f>
        <v/>
      </c>
      <c r="BT53">
        <f>MAX(0,BS53*(1+$E$27)-$F$27)</f>
        <v/>
      </c>
      <c r="BU53">
        <f>BU52-MIN(BU52,BT53)</f>
        <v/>
      </c>
      <c r="BV53">
        <f>BT53-(BU52-BU53)</f>
        <v/>
      </c>
      <c r="BW53">
        <f>MAX(0,BV53*(1+$E$27)-$F$27)</f>
        <v/>
      </c>
      <c r="BX53">
        <f>BX52-MIN(BX52,BW53)</f>
        <v/>
      </c>
      <c r="BY53">
        <f>BW53-(BX52-BX53)</f>
        <v/>
      </c>
      <c r="BZ53">
        <f>MAX(0,BY53*(1+$E$27)-$F$27)</f>
        <v/>
      </c>
      <c r="CA53">
        <f>CA52-MIN(CA52,BZ53)</f>
        <v/>
      </c>
      <c r="CB53">
        <f>BZ53-(CA52-CA53)</f>
        <v/>
      </c>
      <c r="CC53">
        <f>MAX(0,CB53*(1+$E$27)-$F$27)</f>
        <v/>
      </c>
      <c r="CD53">
        <f>CD52-MIN(CD52,CC53)</f>
        <v/>
      </c>
      <c r="CE53">
        <f>CC53-(CD52-CD53)</f>
        <v/>
      </c>
      <c r="CF53">
        <f>MAX(0,CE53*(1+$E$27)-$F$27)</f>
        <v/>
      </c>
      <c r="CG53">
        <f>CG52-MIN(CG52,CF53)</f>
        <v/>
      </c>
      <c r="CH53">
        <f>CF53-(CG52-CG53)</f>
        <v/>
      </c>
      <c r="CI53">
        <f>MAX(0,CH53*(1+$E$27)-$F$27)</f>
        <v/>
      </c>
      <c r="CJ53">
        <f>CJ52-MIN(CJ52,CI53)</f>
        <v/>
      </c>
      <c r="CK53">
        <f>CI53-(CJ52-CJ53)</f>
        <v/>
      </c>
      <c r="CL53">
        <f>MAX(0,CK53*(1+$E$27)-$F$27)</f>
        <v/>
      </c>
      <c r="CM53">
        <f>CM52-MIN(CM52,CL53)</f>
        <v/>
      </c>
      <c r="CN53">
        <f>CL53-(CM52-CM53)</f>
        <v/>
      </c>
      <c r="CO53">
        <f>MAX(0,CN53*(1+$E$27)-$F$27)</f>
        <v/>
      </c>
      <c r="CP53">
        <f>CP52-MIN(CP52,CO53)</f>
        <v/>
      </c>
      <c r="CQ53">
        <f>CO53-(CP52-CP53)</f>
        <v/>
      </c>
      <c r="CR53">
        <f>MAX(0,CQ53*(1+$E$27)-$F$27)</f>
        <v/>
      </c>
      <c r="CS53">
        <f>CS52-MIN(CS52,CR53)</f>
        <v/>
      </c>
      <c r="CT53">
        <f>CR53-(CS52-CS53)</f>
        <v/>
      </c>
      <c r="CU53">
        <f>MAX(0,CT53*(1+$E$27)-$F$27)</f>
        <v/>
      </c>
      <c r="CV53">
        <f>CV52-MIN(CV52,CU53)</f>
        <v/>
      </c>
      <c r="CW53">
        <f>CU53-(CV52-CV53)</f>
        <v/>
      </c>
      <c r="CX53">
        <f>MAX(0,CW53*(1+$E$27)-$F$27)</f>
        <v/>
      </c>
      <c r="CY53">
        <f>CY52-MIN(CY52,CX53)</f>
        <v/>
      </c>
      <c r="CZ53">
        <f>CX53-(CY52-CY53)</f>
        <v/>
      </c>
      <c r="DA53">
        <f>MAX(0,CZ53*(1+$E$27)-$F$27)</f>
        <v/>
      </c>
      <c r="DB53">
        <f>DB52-MIN(DB52,DA53)</f>
        <v/>
      </c>
      <c r="DC53">
        <f>DA53-(DB52-DB53)</f>
        <v/>
      </c>
      <c r="DD53">
        <f>MAX(0,DC53*(1+$E$27)-$F$27)</f>
        <v/>
      </c>
      <c r="DE53">
        <f>DE52-MIN(DE52,DD53)</f>
        <v/>
      </c>
      <c r="DF53">
        <f>DD53-(DE52-DE53)</f>
        <v/>
      </c>
      <c r="DG53">
        <f>MAX(0,DF53*(1+$E$27)-$F$27)</f>
        <v/>
      </c>
      <c r="DH53">
        <f>DH52-MIN(DH52,DG53)</f>
        <v/>
      </c>
      <c r="DI53">
        <f>DG53-(DH52-DH53)</f>
        <v/>
      </c>
      <c r="DJ53">
        <f>MAX(0,DI53*(1+$E$27)-$F$27)</f>
        <v/>
      </c>
      <c r="DK53">
        <f>DK52-MIN(DK52,DJ53)</f>
        <v/>
      </c>
      <c r="DL53">
        <f>DJ53-(DK52-DK53)</f>
        <v/>
      </c>
      <c r="DM53">
        <f>MAX(0,DL53*(1+$E$27)-$F$27)</f>
        <v/>
      </c>
      <c r="DN53">
        <f>DN52-MIN(DN52,DM53)</f>
        <v/>
      </c>
      <c r="DO53">
        <f>DM53-(DN52-DN53)</f>
        <v/>
      </c>
      <c r="DP53">
        <f>MAX(0,DO53*(1+$E$27)-$F$27)</f>
        <v/>
      </c>
      <c r="DQ53">
        <f>DQ52-MIN(DQ52,DP53)</f>
        <v/>
      </c>
      <c r="DR53">
        <f>DP53-(DQ52-DQ53)</f>
        <v/>
      </c>
      <c r="DS53">
        <f>MAX(0,DR53*(1+$E$27)-$F$27)</f>
        <v/>
      </c>
      <c r="DT53">
        <f>DT52-MIN(DT52,DS53)</f>
        <v/>
      </c>
      <c r="DU53">
        <f>DS53-(DT52-DT53)</f>
        <v/>
      </c>
      <c r="DV53">
        <f>MAX(0,DU53*(1+$E$27)-$F$27)</f>
        <v/>
      </c>
      <c r="DW53">
        <f>DW52-MIN(DW52,DV53)</f>
        <v/>
      </c>
      <c r="DX53">
        <f>DV53-(DW52-DW53)</f>
        <v/>
      </c>
      <c r="DY53">
        <f>MAX(0,DX53*(1+$E$27)-$F$27)</f>
        <v/>
      </c>
      <c r="DZ53">
        <f>DZ52-MIN(DZ52,DY53)</f>
        <v/>
      </c>
      <c r="EA53">
        <f>DY53-(DZ52-DZ53)</f>
        <v/>
      </c>
      <c r="EB53">
        <f>MAX(0,EA53*(1+$E$27)-$F$27)</f>
        <v/>
      </c>
      <c r="EC53">
        <f>EC52-MIN(EC52,EB53)</f>
        <v/>
      </c>
      <c r="ED53">
        <f>EB53-(EC52-EC53)</f>
        <v/>
      </c>
      <c r="EE53">
        <f>MAX(0,ED53*(1+$E$27)-$F$27)</f>
        <v/>
      </c>
      <c r="EF53">
        <f>EF52-MIN(EF52,EE53)</f>
        <v/>
      </c>
      <c r="EG53">
        <f>EE53-(EF52-EF53)</f>
        <v/>
      </c>
      <c r="EH53">
        <f>MAX(0,EG53*(1+$E$27)-$F$27)</f>
        <v/>
      </c>
      <c r="EI53">
        <f>EI52-MIN(EI52,EH53)</f>
        <v/>
      </c>
      <c r="EJ53">
        <f>EH53-(EI52-EI53)</f>
        <v/>
      </c>
      <c r="EK53">
        <f>MAX(0,EJ53*(1+$E$27)-$F$27)</f>
        <v/>
      </c>
      <c r="EL53">
        <f>EL52-MIN(EL52,EK53)</f>
        <v/>
      </c>
      <c r="EM53">
        <f>EK53-(EL52-EL53)</f>
        <v/>
      </c>
      <c r="EN53">
        <f>MAX(0,EM53*(1+$E$27)-$F$27)</f>
        <v/>
      </c>
      <c r="EO53">
        <f>EO52-MIN(EO52,EN53)</f>
        <v/>
      </c>
      <c r="EP53">
        <f>EN53-(EO52-EO53)</f>
        <v/>
      </c>
      <c r="EQ53">
        <f>MAX(0,EP53*(1+$E$27)-$F$27)</f>
        <v/>
      </c>
      <c r="ER53">
        <f>ER52-MIN(ER52,EQ53)</f>
        <v/>
      </c>
      <c r="ES53">
        <f>EQ53-(ER52-ER53)</f>
        <v/>
      </c>
      <c r="ET53">
        <f>MAX(0,ES53*(1+$E$27)-$F$27)</f>
        <v/>
      </c>
      <c r="EU53">
        <f>EU52-MIN(EU52,ET53)</f>
        <v/>
      </c>
      <c r="EV53">
        <f>ET53-(EU52-EU53)</f>
        <v/>
      </c>
      <c r="EW53">
        <f>MAX(0,EV53*(1+$E$27)-$F$27)</f>
        <v/>
      </c>
      <c r="EX53">
        <f>EX52-MIN(EX52,EW53)</f>
        <v/>
      </c>
      <c r="EY53">
        <f>EW53-(EX52-EX53)</f>
        <v/>
      </c>
      <c r="EZ53">
        <f>MAX(0,EY53*(1+$E$27)-$F$27)</f>
        <v/>
      </c>
      <c r="FA53">
        <f>FA52-MIN(FA52,EZ53)</f>
        <v/>
      </c>
      <c r="FB53">
        <f>EZ53-(FA52-FA53)</f>
        <v/>
      </c>
      <c r="FC53">
        <f>MAX(0,FB53*(1+$E$27)-$F$27)</f>
        <v/>
      </c>
      <c r="FD53">
        <f>FD52-MIN(FD52,FC53)</f>
        <v/>
      </c>
      <c r="FE53">
        <f>FC53-(FD52-FD53)</f>
        <v/>
      </c>
      <c r="FF53">
        <f>MAX(0,FE53*(1+$E$27)-$F$27)</f>
        <v/>
      </c>
      <c r="FG53">
        <f>FG52-MIN(FG52,FF53)</f>
        <v/>
      </c>
      <c r="FH53">
        <f>FF53-(FG52-FG53)</f>
        <v/>
      </c>
      <c r="FI53">
        <f>MAX(0,FH53*(1+$E$27)-$F$27)</f>
        <v/>
      </c>
      <c r="FJ53">
        <f>FJ52-MIN(FJ52,FI53)</f>
        <v/>
      </c>
      <c r="FK53">
        <f>FI53-(FJ52-FJ53)</f>
        <v/>
      </c>
      <c r="FL53">
        <f>MAX(0,FK53*(1+$E$27)-$F$27)</f>
        <v/>
      </c>
      <c r="FM53">
        <f>FM52-MIN(FM52,FL53)</f>
        <v/>
      </c>
      <c r="FN53">
        <f>FL53-(FM52-FM53)</f>
        <v/>
      </c>
      <c r="FO53">
        <f>MAX(0,FN53*(1+$E$27)-$F$27)</f>
        <v/>
      </c>
      <c r="FP53">
        <f>FP52-MIN(FP52,FO53)</f>
        <v/>
      </c>
      <c r="FQ53">
        <f>FO53-(FP52-FP53)</f>
        <v/>
      </c>
      <c r="FR53">
        <f>MAX(0,FQ53*(1+$E$27)-$F$27)</f>
        <v/>
      </c>
      <c r="FS53">
        <f>FS52-MIN(FS52,FR53)</f>
        <v/>
      </c>
      <c r="FT53">
        <f>FR53-(FS52-FS53)</f>
        <v/>
      </c>
      <c r="FU53">
        <f>MAX(0,FT53*(1+$E$27)-$F$27)</f>
        <v/>
      </c>
      <c r="FV53">
        <f>FV52-MIN(FV52,FU53)</f>
        <v/>
      </c>
      <c r="FW53">
        <f>FU53-(FV52-FV53)</f>
        <v/>
      </c>
      <c r="FX53">
        <f>MAX(0,FW53*(1+$E$27)-$F$27)</f>
        <v/>
      </c>
      <c r="FY53">
        <f>FY52-MIN(FY52,FX53)</f>
        <v/>
      </c>
      <c r="FZ53">
        <f>FX53-(FY52-FY53)</f>
        <v/>
      </c>
      <c r="GA53">
        <f>MAX(0,FZ53*(1+$E$27)-$F$27)</f>
        <v/>
      </c>
      <c r="GB53">
        <f>GB52-MIN(GB52,GA53)</f>
        <v/>
      </c>
      <c r="GC53">
        <f>GA53-(GB52-GB53)</f>
        <v/>
      </c>
      <c r="GD53">
        <f>MAX(0,GC53*(1+$E$27)-$F$27)</f>
        <v/>
      </c>
      <c r="GE53">
        <f>GE52-MIN(GE52,GD53)</f>
        <v/>
      </c>
      <c r="GF53">
        <f>GD53-(GE52-GE53)</f>
        <v/>
      </c>
      <c r="GG53">
        <f>MAX(0,GF53*(1+$E$27)-$F$27)</f>
        <v/>
      </c>
      <c r="GH53">
        <f>GH52-MIN(GH52,GG53)</f>
        <v/>
      </c>
      <c r="GI53">
        <f>GG53-(GH52-GH53)</f>
        <v/>
      </c>
      <c r="GJ53">
        <f>MAX(0,GI53*(1+$E$27)-$F$27)</f>
        <v/>
      </c>
      <c r="GK53">
        <f>GK52-MIN(GK52,GJ53)</f>
        <v/>
      </c>
      <c r="GL53">
        <f>GJ53-(GK52-GK53)</f>
        <v/>
      </c>
      <c r="GM53">
        <f>MAX(0,GL53*(1+$E$27)-$F$27)</f>
        <v/>
      </c>
      <c r="GN53">
        <f>GN52-MIN(GN52,GM53)</f>
        <v/>
      </c>
      <c r="GO53">
        <f>GM53-(GN52-GN53)</f>
        <v/>
      </c>
      <c r="GP53">
        <f>MAX(0,GO53*(1+$E$27)-$F$27)</f>
        <v/>
      </c>
      <c r="GQ53">
        <f>GQ52-MIN(GQ52,GP53)</f>
        <v/>
      </c>
      <c r="GR53">
        <f>GP53-(GQ52-GQ53)</f>
        <v/>
      </c>
      <c r="GS53">
        <f>MAX(0,GR53*(1+$E$27)-$F$27)</f>
        <v/>
      </c>
      <c r="GT53">
        <f>GT52-MIN(GT52,GS53)</f>
        <v/>
      </c>
      <c r="GU53">
        <f>GS53-(GT52-GT53)</f>
        <v/>
      </c>
      <c r="GV53">
        <f>MAX(0,GU53*(1+$E$27)-$F$27)</f>
        <v/>
      </c>
      <c r="GW53">
        <f>GW52-MIN(GW52,GV53)</f>
        <v/>
      </c>
      <c r="GX53">
        <f>GV53-(GW52-GW53)</f>
        <v/>
      </c>
      <c r="GY53">
        <f>MAX(0,GX53*(1+$E$27)-$F$27)</f>
        <v/>
      </c>
      <c r="GZ53">
        <f>GZ52-MIN(GZ52,GY53)</f>
        <v/>
      </c>
      <c r="HA53">
        <f>GY53-(GZ52-GZ53)</f>
        <v/>
      </c>
      <c r="HB53">
        <f>MAX(0,HA53*(1+$E$27)-$F$27)</f>
        <v/>
      </c>
      <c r="HC53">
        <f>HC52-MIN(HC52,HB53)</f>
        <v/>
      </c>
      <c r="HD53">
        <f>HB53-(HC52-HC53)</f>
        <v/>
      </c>
      <c r="HE53">
        <f>MAX(0,HD53*(1+$E$27)-$F$27)</f>
        <v/>
      </c>
      <c r="HF53">
        <f>HF52-MIN(HF52,HE53)</f>
        <v/>
      </c>
      <c r="HG53">
        <f>HE53-(HF52-HF53)</f>
        <v/>
      </c>
      <c r="HH53">
        <f>MAX(0,HG53*(1+$E$27)-$F$27)</f>
        <v/>
      </c>
      <c r="HI53">
        <f>HI52-MIN(HI52,HH53)</f>
        <v/>
      </c>
      <c r="HJ53">
        <f>HH53-(HI52-HI53)</f>
        <v/>
      </c>
      <c r="HK53">
        <f>MAX(0,HJ53*(1+$E$27)-$F$27)</f>
        <v/>
      </c>
      <c r="HL53">
        <f>HL52-MIN(HL52,HK53)</f>
        <v/>
      </c>
      <c r="HM53">
        <f>HK53-(HL52-HL53)</f>
        <v/>
      </c>
      <c r="HN53">
        <f>MAX(0,HM53*(1+$E$27)-$F$27)</f>
        <v/>
      </c>
      <c r="HO53">
        <f>HO52-MIN(HO52,HN53)</f>
        <v/>
      </c>
      <c r="HP53">
        <f>HN53-(HO52-HO53)</f>
        <v/>
      </c>
      <c r="HQ53">
        <f>MAX(0,HP53*(1+$E$27)-$F$27)</f>
        <v/>
      </c>
      <c r="HR53">
        <f>HR52-MIN(HR52,HQ53)</f>
        <v/>
      </c>
      <c r="HS53">
        <f>HQ53-(HR52-HR53)</f>
        <v/>
      </c>
      <c r="HT53">
        <f>MAX(0,HS53*(1+$E$27)-$F$27)</f>
        <v/>
      </c>
      <c r="HU53">
        <f>HU52-MIN(HU52,HT53)</f>
        <v/>
      </c>
      <c r="HV53">
        <f>HT53-(HU52-HU53)</f>
        <v/>
      </c>
      <c r="HW53">
        <f>MAX(0,HV53*(1+$E$27)-$F$27)</f>
        <v/>
      </c>
      <c r="HX53">
        <f>HX52-MIN(HX52,HW53)</f>
        <v/>
      </c>
      <c r="HY53">
        <f>HW53-(HX52-HX53)</f>
        <v/>
      </c>
      <c r="HZ53">
        <f>MAX(0,HY53*(1+$E$27)-$F$27)</f>
        <v/>
      </c>
      <c r="IA53">
        <f>IA52-MIN(IA52,HZ53)</f>
        <v/>
      </c>
      <c r="IB53">
        <f>HZ53-(IA52-IA53)</f>
        <v/>
      </c>
      <c r="IC53">
        <f>MAX(0,IB53*(1+$E$27)-$F$27)</f>
        <v/>
      </c>
      <c r="ID53">
        <f>ID52-MIN(ID52,IC53)</f>
        <v/>
      </c>
      <c r="IE53">
        <f>IC53-(ID52-ID53)</f>
        <v/>
      </c>
      <c r="IF53">
        <f>MAX(0,IE53*(1+$E$27)-$F$27)</f>
        <v/>
      </c>
      <c r="IG53">
        <f>IG52-MIN(IG52,IF53)</f>
        <v/>
      </c>
      <c r="IH53">
        <f>IF53-(IG52-IG53)</f>
        <v/>
      </c>
      <c r="II53">
        <f>MAX(0,IH53*(1+$E$27)-$F$27)</f>
        <v/>
      </c>
      <c r="IJ53">
        <f>IJ52-MIN(IJ52,II53)</f>
        <v/>
      </c>
      <c r="IK53">
        <f>II53-(IJ52-IJ53)</f>
        <v/>
      </c>
      <c r="IL53">
        <f>MAX(0,IK53*(1+$E$27)-$F$27)</f>
        <v/>
      </c>
      <c r="IM53">
        <f>IM52-MIN(IM52,IL53)</f>
        <v/>
      </c>
      <c r="IN53">
        <f>IL53-(IM52-IM53)</f>
        <v/>
      </c>
      <c r="IO53">
        <f>MAX(0,IN53*(1+$E$27)-$F$27)</f>
        <v/>
      </c>
      <c r="IP53">
        <f>IP52-MIN(IP52,IO53)</f>
        <v/>
      </c>
      <c r="IQ53">
        <f>IO53-(IP52-IP53)</f>
        <v/>
      </c>
      <c r="IR53">
        <f>MAX(0,IQ53*(1+$E$27)-$F$27)</f>
        <v/>
      </c>
      <c r="IS53">
        <f>IS52-MIN(IS52,IR53)</f>
        <v/>
      </c>
      <c r="IT53">
        <f>IR53-(IS52-IS53)</f>
        <v/>
      </c>
      <c r="IU53">
        <f>MAX(0,IT53*(1+$E$27)-$F$27)</f>
        <v/>
      </c>
      <c r="IV53">
        <f>IV52-MIN(IV52,IU53)</f>
        <v/>
      </c>
      <c r="IW53">
        <f>IU53-(IV52-IV53)</f>
        <v/>
      </c>
      <c r="IX53">
        <f>MAX(0,IW53*(1+$E$27)-$F$27)</f>
        <v/>
      </c>
      <c r="IY53">
        <f>IY52-MIN(IY52,IX53)</f>
        <v/>
      </c>
      <c r="IZ53">
        <f>IX53-(IY52-IY53)</f>
        <v/>
      </c>
      <c r="JA53">
        <f>MAX(0,IZ53*(1+$E$27)-$F$27)</f>
        <v/>
      </c>
      <c r="JB53">
        <f>JB52-MIN(JB52,JA53)</f>
        <v/>
      </c>
      <c r="JC53">
        <f>JA53-(JB52-JB53)</f>
        <v/>
      </c>
      <c r="JD53">
        <f>MAX(0,JC53*(1+$E$27)-$F$27)</f>
        <v/>
      </c>
      <c r="JE53">
        <f>JE52-MIN(JE52,JD53)</f>
        <v/>
      </c>
      <c r="JF53">
        <f>JD53-(JE52-JE53)</f>
        <v/>
      </c>
      <c r="JG53">
        <f>MAX(0,JF53*(1+$E$27)-$F$27)</f>
        <v/>
      </c>
      <c r="JH53">
        <f>JH52-MIN(JH52,JG53)</f>
        <v/>
      </c>
      <c r="JI53">
        <f>JG53-(JH52-JH53)</f>
        <v/>
      </c>
      <c r="JJ53">
        <f>MAX(0,JI53*(1+$E$27)-$F$27)</f>
        <v/>
      </c>
      <c r="JK53">
        <f>JK52-MIN(JK52,JJ53)</f>
        <v/>
      </c>
      <c r="JL53">
        <f>JJ53-(JK52-JK53)</f>
        <v/>
      </c>
      <c r="JM53">
        <f>MAX(0,JL53*(1+$E$27)-$F$27)</f>
        <v/>
      </c>
      <c r="JN53">
        <f>JN52-MIN(JN52,JM53)</f>
        <v/>
      </c>
      <c r="JO53">
        <f>JM53-(JN52-JN53)</f>
        <v/>
      </c>
      <c r="JP53">
        <f>MAX(0,JO53*(1+$E$27)-$F$27)</f>
        <v/>
      </c>
      <c r="JQ53">
        <f>JQ52-MIN(JQ52,JP53)</f>
        <v/>
      </c>
      <c r="JR53">
        <f>JP53-(JQ52-JQ53)</f>
        <v/>
      </c>
      <c r="JS53">
        <f>MAX(0,JR53*(1+$E$27)-$F$27)</f>
        <v/>
      </c>
      <c r="JT53">
        <f>JT52-MIN(JT52,JS53)</f>
        <v/>
      </c>
      <c r="JU53">
        <f>JS53-(JT52-JT53)</f>
        <v/>
      </c>
      <c r="JV53">
        <f>MAX(0,JU53*(1+$E$27)-$F$27)</f>
        <v/>
      </c>
      <c r="JW53">
        <f>JW52-MIN(JW52,JV53)</f>
        <v/>
      </c>
      <c r="JX53">
        <f>JV53-(JW52-JW53)</f>
        <v/>
      </c>
      <c r="JY53">
        <f>MAX(0,JX53*(1+$E$27)-$F$27)</f>
        <v/>
      </c>
      <c r="JZ53">
        <f>JZ52-MIN(JZ52,JY53)</f>
        <v/>
      </c>
      <c r="KA53">
        <f>JY53-(JZ52-JZ53)</f>
        <v/>
      </c>
      <c r="KB53">
        <f>MAX(0,KA53*(1+$E$27)-$F$27)</f>
        <v/>
      </c>
      <c r="KC53">
        <f>KC52-MIN(KC52,KB53)</f>
        <v/>
      </c>
      <c r="KD53">
        <f>KB53-(KC52-KC53)</f>
        <v/>
      </c>
      <c r="KE53">
        <f>MAX(0,KD53*(1+$E$27)-$F$27)</f>
        <v/>
      </c>
      <c r="KF53">
        <f>KF52-MIN(KF52,KE53)</f>
        <v/>
      </c>
      <c r="KG53">
        <f>KE53-(KF52-KF53)</f>
        <v/>
      </c>
      <c r="KH53">
        <f>MAX(0,KG53*(1+$E$27)-$F$27)</f>
        <v/>
      </c>
      <c r="KI53">
        <f>KI52-MIN(KI52,KH53)</f>
        <v/>
      </c>
      <c r="KJ53">
        <f>KH53-(KI52-KI53)</f>
        <v/>
      </c>
      <c r="KK53">
        <f>MAX(0,KJ53*(1+$E$27)-$F$27)</f>
        <v/>
      </c>
      <c r="KL53">
        <f>KL52-MIN(KL52,KK53)</f>
        <v/>
      </c>
      <c r="KM53">
        <f>KK53-(KL52-KL53)</f>
        <v/>
      </c>
      <c r="KN53">
        <f>MAX(0,KM53*(1+$E$27)-$F$27)</f>
        <v/>
      </c>
      <c r="KO53">
        <f>KO52-MIN(KO52,KN53)</f>
        <v/>
      </c>
      <c r="KP53">
        <f>KN53-(KO52-KO53)</f>
        <v/>
      </c>
      <c r="KQ53">
        <f>MAX(0,KP53*(1+$E$27)-$F$27)</f>
        <v/>
      </c>
      <c r="KR53">
        <f>KR52-MIN(KR52,KQ53)</f>
        <v/>
      </c>
      <c r="KS53">
        <f>KQ53-(KR52-KR53)</f>
        <v/>
      </c>
      <c r="KT53">
        <f>MAX(0,KS53*(1+$E$27)-$F$27)</f>
        <v/>
      </c>
      <c r="KU53">
        <f>KU52-MIN(KU52,KT53)</f>
        <v/>
      </c>
      <c r="KV53">
        <f>KT53-(KU52-KU53)</f>
        <v/>
      </c>
      <c r="KW53">
        <f>MAX(0,KV53*(1+$E$27)-$F$27)</f>
        <v/>
      </c>
      <c r="KX53">
        <f>KX52-MIN(KX52,KW53)</f>
        <v/>
      </c>
      <c r="KY53">
        <f>KW53-(KX52-KX53)</f>
        <v/>
      </c>
      <c r="KZ53">
        <f>MAX(0,KY53*(1+$E$27)-$F$27)</f>
        <v/>
      </c>
      <c r="LA53">
        <f>LA52-MIN(LA52,KZ53)</f>
        <v/>
      </c>
      <c r="LB53">
        <f>KZ53-(LA52-LA53)</f>
        <v/>
      </c>
      <c r="LC53">
        <f>MAX(0,LB53*(1+$E$27)-$F$27)</f>
        <v/>
      </c>
      <c r="LD53">
        <f>LD52-MIN(LD52,LC53)</f>
        <v/>
      </c>
      <c r="LE53">
        <f>LC53-(LD52-LD53)</f>
        <v/>
      </c>
      <c r="LF53">
        <f>MAX(0,LE53*(1+$E$27)-$F$27)</f>
        <v/>
      </c>
      <c r="LG53">
        <f>LG52-MIN(LG52,LF53)</f>
        <v/>
      </c>
      <c r="LH53">
        <f>LF53-(LG52-LG53)</f>
        <v/>
      </c>
      <c r="LI53">
        <f>MAX(0,LH53*(1+$E$27)-$F$27)</f>
        <v/>
      </c>
      <c r="LJ53">
        <f>LJ52-MIN(LJ52,LI53)</f>
        <v/>
      </c>
      <c r="LK53">
        <f>LI53-(LJ52-LJ53)</f>
        <v/>
      </c>
      <c r="LL53">
        <f>MAX(0,LK53*(1+$E$27)-$F$27)</f>
        <v/>
      </c>
      <c r="LM53">
        <f>LM52-MIN(LM52,LL53)</f>
        <v/>
      </c>
      <c r="LN53">
        <f>LL53-(LM52-LM53)</f>
        <v/>
      </c>
      <c r="LO53">
        <f>MAX(0,LN53*(1+$E$27)-$F$27)</f>
        <v/>
      </c>
      <c r="LP53">
        <f>LP52-MIN(LP52,LO53)</f>
        <v/>
      </c>
      <c r="LQ53">
        <f>LO53-(LP52-LP53)</f>
        <v/>
      </c>
      <c r="LR53">
        <f>MAX(0,LQ53*(1+$E$27)-$F$27)</f>
        <v/>
      </c>
      <c r="LS53">
        <f>LS52-MIN(LS52,LR53)</f>
        <v/>
      </c>
      <c r="LT53">
        <f>LR53-(LS52-LS53)</f>
        <v/>
      </c>
      <c r="LU53">
        <f>MAX(0,LT53*(1+$E$27)-$F$27)</f>
        <v/>
      </c>
      <c r="LV53">
        <f>LV52-MIN(LV52,LU53)</f>
        <v/>
      </c>
      <c r="LW53">
        <f>LU53-(LV52-LV53)</f>
        <v/>
      </c>
      <c r="LX53">
        <f>MAX(0,LW53*(1+$E$27)-$F$27)</f>
        <v/>
      </c>
      <c r="LY53">
        <f>LY52-MIN(LY52,LX53)</f>
        <v/>
      </c>
      <c r="LZ53">
        <f>LX53-(LY52-LY53)</f>
        <v/>
      </c>
      <c r="MA53">
        <f>MAX(0,LZ53*(1+$E$27)-$F$27)</f>
        <v/>
      </c>
      <c r="MB53">
        <f>MB52-MIN(MB52,MA53)</f>
        <v/>
      </c>
      <c r="MC53">
        <f>MA53-(MB52-MB53)</f>
        <v/>
      </c>
      <c r="MD53">
        <f>MAX(0,MC53*(1+$E$27)-$F$27)</f>
        <v/>
      </c>
      <c r="ME53">
        <f>ME52-MIN(ME52,MD53)</f>
        <v/>
      </c>
      <c r="MF53">
        <f>MD53-(ME52-ME53)</f>
        <v/>
      </c>
      <c r="MG53">
        <f>MAX(0,MF53*(1+$E$27)-$F$27)</f>
        <v/>
      </c>
      <c r="MH53">
        <f>MH52-MIN(MH52,MG53)</f>
        <v/>
      </c>
      <c r="MI53">
        <f>MG53-(MH52-MH53)</f>
        <v/>
      </c>
      <c r="MJ53">
        <f>MAX(0,MI53*(1+$E$27)-$F$27)</f>
        <v/>
      </c>
      <c r="MK53">
        <f>MK52-MIN(MK52,MJ53)</f>
        <v/>
      </c>
      <c r="ML53">
        <f>MJ53-(MK52-MK53)</f>
        <v/>
      </c>
      <c r="MM53">
        <f>MAX(0,ML53*(1+$E$27)-$F$27)</f>
        <v/>
      </c>
      <c r="MN53">
        <f>MN52-MIN(MN52,MM53)</f>
        <v/>
      </c>
      <c r="MO53">
        <f>MM53-(MN52-MN53)</f>
        <v/>
      </c>
      <c r="MP53">
        <f>MAX(0,MO53*(1+$E$27)-$F$27)</f>
        <v/>
      </c>
      <c r="MQ53">
        <f>MQ52-MIN(MQ52,MP53)</f>
        <v/>
      </c>
      <c r="MR53">
        <f>MP53-(MQ52-MQ53)</f>
        <v/>
      </c>
      <c r="MS53">
        <f>MAX(0,MR53*(1+$E$27)-$F$27)</f>
        <v/>
      </c>
      <c r="MT53">
        <f>MT52-MIN(MT52,MS53)</f>
        <v/>
      </c>
      <c r="MU53">
        <f>MS53-(MT52-MT53)</f>
        <v/>
      </c>
      <c r="MV53">
        <f>MAX(0,MU53*(1+$E$27)-$F$27)</f>
        <v/>
      </c>
      <c r="MW53">
        <f>MW52-MIN(MW52,MV53)</f>
        <v/>
      </c>
      <c r="MX53">
        <f>MV53-(MW52-MW53)</f>
        <v/>
      </c>
    </row>
    <row r="54">
      <c r="A54" t="inlineStr">
        <is>
          <t>slot 5</t>
        </is>
      </c>
      <c r="B54">
        <f>D28</f>
        <v/>
      </c>
      <c r="C54">
        <f>MAX(0,B54*(1+$E$28)-$F$28)</f>
        <v/>
      </c>
      <c r="D54">
        <f>D53-MIN(D53,C54)</f>
        <v/>
      </c>
      <c r="E54">
        <f>C54-(D53-D54)</f>
        <v/>
      </c>
      <c r="F54">
        <f>MAX(0,E54*(1+$E$28)-$F$28)</f>
        <v/>
      </c>
      <c r="G54">
        <f>G53-MIN(G53,F54)</f>
        <v/>
      </c>
      <c r="H54">
        <f>F54-(G53-G54)</f>
        <v/>
      </c>
      <c r="I54">
        <f>MAX(0,H54*(1+$E$28)-$F$28)</f>
        <v/>
      </c>
      <c r="J54">
        <f>J53-MIN(J53,I54)</f>
        <v/>
      </c>
      <c r="K54">
        <f>I54-(J53-J54)</f>
        <v/>
      </c>
      <c r="L54">
        <f>MAX(0,K54*(1+$E$28)-$F$28)</f>
        <v/>
      </c>
      <c r="M54">
        <f>M53-MIN(M53,L54)</f>
        <v/>
      </c>
      <c r="N54">
        <f>L54-(M53-M54)</f>
        <v/>
      </c>
      <c r="O54">
        <f>MAX(0,N54*(1+$E$28)-$F$28)</f>
        <v/>
      </c>
      <c r="P54">
        <f>P53-MIN(P53,O54)</f>
        <v/>
      </c>
      <c r="Q54">
        <f>O54-(P53-P54)</f>
        <v/>
      </c>
      <c r="R54">
        <f>MAX(0,Q54*(1+$E$28)-$F$28)</f>
        <v/>
      </c>
      <c r="S54">
        <f>S53-MIN(S53,R54)</f>
        <v/>
      </c>
      <c r="T54">
        <f>R54-(S53-S54)</f>
        <v/>
      </c>
      <c r="U54">
        <f>MAX(0,T54*(1+$E$28)-$F$28)</f>
        <v/>
      </c>
      <c r="V54">
        <f>V53-MIN(V53,U54)</f>
        <v/>
      </c>
      <c r="W54">
        <f>U54-(V53-V54)</f>
        <v/>
      </c>
      <c r="X54">
        <f>MAX(0,W54*(1+$E$28)-$F$28)</f>
        <v/>
      </c>
      <c r="Y54">
        <f>Y53-MIN(Y53,X54)</f>
        <v/>
      </c>
      <c r="Z54">
        <f>X54-(Y53-Y54)</f>
        <v/>
      </c>
      <c r="AA54">
        <f>MAX(0,Z54*(1+$E$28)-$F$28)</f>
        <v/>
      </c>
      <c r="AB54">
        <f>AB53-MIN(AB53,AA54)</f>
        <v/>
      </c>
      <c r="AC54">
        <f>AA54-(AB53-AB54)</f>
        <v/>
      </c>
      <c r="AD54">
        <f>MAX(0,AC54*(1+$E$28)-$F$28)</f>
        <v/>
      </c>
      <c r="AE54">
        <f>AE53-MIN(AE53,AD54)</f>
        <v/>
      </c>
      <c r="AF54">
        <f>AD54-(AE53-AE54)</f>
        <v/>
      </c>
      <c r="AG54">
        <f>MAX(0,AF54*(1+$E$28)-$F$28)</f>
        <v/>
      </c>
      <c r="AH54">
        <f>AH53-MIN(AH53,AG54)</f>
        <v/>
      </c>
      <c r="AI54">
        <f>AG54-(AH53-AH54)</f>
        <v/>
      </c>
      <c r="AJ54">
        <f>MAX(0,AI54*(1+$E$28)-$F$28)</f>
        <v/>
      </c>
      <c r="AK54">
        <f>AK53-MIN(AK53,AJ54)</f>
        <v/>
      </c>
      <c r="AL54">
        <f>AJ54-(AK53-AK54)</f>
        <v/>
      </c>
      <c r="AM54">
        <f>MAX(0,AL54*(1+$E$28)-$F$28)</f>
        <v/>
      </c>
      <c r="AN54">
        <f>AN53-MIN(AN53,AM54)</f>
        <v/>
      </c>
      <c r="AO54">
        <f>AM54-(AN53-AN54)</f>
        <v/>
      </c>
      <c r="AP54">
        <f>MAX(0,AO54*(1+$E$28)-$F$28)</f>
        <v/>
      </c>
      <c r="AQ54">
        <f>AQ53-MIN(AQ53,AP54)</f>
        <v/>
      </c>
      <c r="AR54">
        <f>AP54-(AQ53-AQ54)</f>
        <v/>
      </c>
      <c r="AS54">
        <f>MAX(0,AR54*(1+$E$28)-$F$28)</f>
        <v/>
      </c>
      <c r="AT54">
        <f>AT53-MIN(AT53,AS54)</f>
        <v/>
      </c>
      <c r="AU54">
        <f>AS54-(AT53-AT54)</f>
        <v/>
      </c>
      <c r="AV54">
        <f>MAX(0,AU54*(1+$E$28)-$F$28)</f>
        <v/>
      </c>
      <c r="AW54">
        <f>AW53-MIN(AW53,AV54)</f>
        <v/>
      </c>
      <c r="AX54">
        <f>AV54-(AW53-AW54)</f>
        <v/>
      </c>
      <c r="AY54">
        <f>MAX(0,AX54*(1+$E$28)-$F$28)</f>
        <v/>
      </c>
      <c r="AZ54">
        <f>AZ53-MIN(AZ53,AY54)</f>
        <v/>
      </c>
      <c r="BA54">
        <f>AY54-(AZ53-AZ54)</f>
        <v/>
      </c>
      <c r="BB54">
        <f>MAX(0,BA54*(1+$E$28)-$F$28)</f>
        <v/>
      </c>
      <c r="BC54">
        <f>BC53-MIN(BC53,BB54)</f>
        <v/>
      </c>
      <c r="BD54">
        <f>BB54-(BC53-BC54)</f>
        <v/>
      </c>
      <c r="BE54">
        <f>MAX(0,BD54*(1+$E$28)-$F$28)</f>
        <v/>
      </c>
      <c r="BF54">
        <f>BF53-MIN(BF53,BE54)</f>
        <v/>
      </c>
      <c r="BG54">
        <f>BE54-(BF53-BF54)</f>
        <v/>
      </c>
      <c r="BH54">
        <f>MAX(0,BG54*(1+$E$28)-$F$28)</f>
        <v/>
      </c>
      <c r="BI54">
        <f>BI53-MIN(BI53,BH54)</f>
        <v/>
      </c>
      <c r="BJ54">
        <f>BH54-(BI53-BI54)</f>
        <v/>
      </c>
      <c r="BK54">
        <f>MAX(0,BJ54*(1+$E$28)-$F$28)</f>
        <v/>
      </c>
      <c r="BL54">
        <f>BL53-MIN(BL53,BK54)</f>
        <v/>
      </c>
      <c r="BM54">
        <f>BK54-(BL53-BL54)</f>
        <v/>
      </c>
      <c r="BN54">
        <f>MAX(0,BM54*(1+$E$28)-$F$28)</f>
        <v/>
      </c>
      <c r="BO54">
        <f>BO53-MIN(BO53,BN54)</f>
        <v/>
      </c>
      <c r="BP54">
        <f>BN54-(BO53-BO54)</f>
        <v/>
      </c>
      <c r="BQ54">
        <f>MAX(0,BP54*(1+$E$28)-$F$28)</f>
        <v/>
      </c>
      <c r="BR54">
        <f>BR53-MIN(BR53,BQ54)</f>
        <v/>
      </c>
      <c r="BS54">
        <f>BQ54-(BR53-BR54)</f>
        <v/>
      </c>
      <c r="BT54">
        <f>MAX(0,BS54*(1+$E$28)-$F$28)</f>
        <v/>
      </c>
      <c r="BU54">
        <f>BU53-MIN(BU53,BT54)</f>
        <v/>
      </c>
      <c r="BV54">
        <f>BT54-(BU53-BU54)</f>
        <v/>
      </c>
      <c r="BW54">
        <f>MAX(0,BV54*(1+$E$28)-$F$28)</f>
        <v/>
      </c>
      <c r="BX54">
        <f>BX53-MIN(BX53,BW54)</f>
        <v/>
      </c>
      <c r="BY54">
        <f>BW54-(BX53-BX54)</f>
        <v/>
      </c>
      <c r="BZ54">
        <f>MAX(0,BY54*(1+$E$28)-$F$28)</f>
        <v/>
      </c>
      <c r="CA54">
        <f>CA53-MIN(CA53,BZ54)</f>
        <v/>
      </c>
      <c r="CB54">
        <f>BZ54-(CA53-CA54)</f>
        <v/>
      </c>
      <c r="CC54">
        <f>MAX(0,CB54*(1+$E$28)-$F$28)</f>
        <v/>
      </c>
      <c r="CD54">
        <f>CD53-MIN(CD53,CC54)</f>
        <v/>
      </c>
      <c r="CE54">
        <f>CC54-(CD53-CD54)</f>
        <v/>
      </c>
      <c r="CF54">
        <f>MAX(0,CE54*(1+$E$28)-$F$28)</f>
        <v/>
      </c>
      <c r="CG54">
        <f>CG53-MIN(CG53,CF54)</f>
        <v/>
      </c>
      <c r="CH54">
        <f>CF54-(CG53-CG54)</f>
        <v/>
      </c>
      <c r="CI54">
        <f>MAX(0,CH54*(1+$E$28)-$F$28)</f>
        <v/>
      </c>
      <c r="CJ54">
        <f>CJ53-MIN(CJ53,CI54)</f>
        <v/>
      </c>
      <c r="CK54">
        <f>CI54-(CJ53-CJ54)</f>
        <v/>
      </c>
      <c r="CL54">
        <f>MAX(0,CK54*(1+$E$28)-$F$28)</f>
        <v/>
      </c>
      <c r="CM54">
        <f>CM53-MIN(CM53,CL54)</f>
        <v/>
      </c>
      <c r="CN54">
        <f>CL54-(CM53-CM54)</f>
        <v/>
      </c>
      <c r="CO54">
        <f>MAX(0,CN54*(1+$E$28)-$F$28)</f>
        <v/>
      </c>
      <c r="CP54">
        <f>CP53-MIN(CP53,CO54)</f>
        <v/>
      </c>
      <c r="CQ54">
        <f>CO54-(CP53-CP54)</f>
        <v/>
      </c>
      <c r="CR54">
        <f>MAX(0,CQ54*(1+$E$28)-$F$28)</f>
        <v/>
      </c>
      <c r="CS54">
        <f>CS53-MIN(CS53,CR54)</f>
        <v/>
      </c>
      <c r="CT54">
        <f>CR54-(CS53-CS54)</f>
        <v/>
      </c>
      <c r="CU54">
        <f>MAX(0,CT54*(1+$E$28)-$F$28)</f>
        <v/>
      </c>
      <c r="CV54">
        <f>CV53-MIN(CV53,CU54)</f>
        <v/>
      </c>
      <c r="CW54">
        <f>CU54-(CV53-CV54)</f>
        <v/>
      </c>
      <c r="CX54">
        <f>MAX(0,CW54*(1+$E$28)-$F$28)</f>
        <v/>
      </c>
      <c r="CY54">
        <f>CY53-MIN(CY53,CX54)</f>
        <v/>
      </c>
      <c r="CZ54">
        <f>CX54-(CY53-CY54)</f>
        <v/>
      </c>
      <c r="DA54">
        <f>MAX(0,CZ54*(1+$E$28)-$F$28)</f>
        <v/>
      </c>
      <c r="DB54">
        <f>DB53-MIN(DB53,DA54)</f>
        <v/>
      </c>
      <c r="DC54">
        <f>DA54-(DB53-DB54)</f>
        <v/>
      </c>
      <c r="DD54">
        <f>MAX(0,DC54*(1+$E$28)-$F$28)</f>
        <v/>
      </c>
      <c r="DE54">
        <f>DE53-MIN(DE53,DD54)</f>
        <v/>
      </c>
      <c r="DF54">
        <f>DD54-(DE53-DE54)</f>
        <v/>
      </c>
      <c r="DG54">
        <f>MAX(0,DF54*(1+$E$28)-$F$28)</f>
        <v/>
      </c>
      <c r="DH54">
        <f>DH53-MIN(DH53,DG54)</f>
        <v/>
      </c>
      <c r="DI54">
        <f>DG54-(DH53-DH54)</f>
        <v/>
      </c>
      <c r="DJ54">
        <f>MAX(0,DI54*(1+$E$28)-$F$28)</f>
        <v/>
      </c>
      <c r="DK54">
        <f>DK53-MIN(DK53,DJ54)</f>
        <v/>
      </c>
      <c r="DL54">
        <f>DJ54-(DK53-DK54)</f>
        <v/>
      </c>
      <c r="DM54">
        <f>MAX(0,DL54*(1+$E$28)-$F$28)</f>
        <v/>
      </c>
      <c r="DN54">
        <f>DN53-MIN(DN53,DM54)</f>
        <v/>
      </c>
      <c r="DO54">
        <f>DM54-(DN53-DN54)</f>
        <v/>
      </c>
      <c r="DP54">
        <f>MAX(0,DO54*(1+$E$28)-$F$28)</f>
        <v/>
      </c>
      <c r="DQ54">
        <f>DQ53-MIN(DQ53,DP54)</f>
        <v/>
      </c>
      <c r="DR54">
        <f>DP54-(DQ53-DQ54)</f>
        <v/>
      </c>
      <c r="DS54">
        <f>MAX(0,DR54*(1+$E$28)-$F$28)</f>
        <v/>
      </c>
      <c r="DT54">
        <f>DT53-MIN(DT53,DS54)</f>
        <v/>
      </c>
      <c r="DU54">
        <f>DS54-(DT53-DT54)</f>
        <v/>
      </c>
      <c r="DV54">
        <f>MAX(0,DU54*(1+$E$28)-$F$28)</f>
        <v/>
      </c>
      <c r="DW54">
        <f>DW53-MIN(DW53,DV54)</f>
        <v/>
      </c>
      <c r="DX54">
        <f>DV54-(DW53-DW54)</f>
        <v/>
      </c>
      <c r="DY54">
        <f>MAX(0,DX54*(1+$E$28)-$F$28)</f>
        <v/>
      </c>
      <c r="DZ54">
        <f>DZ53-MIN(DZ53,DY54)</f>
        <v/>
      </c>
      <c r="EA54">
        <f>DY54-(DZ53-DZ54)</f>
        <v/>
      </c>
      <c r="EB54">
        <f>MAX(0,EA54*(1+$E$28)-$F$28)</f>
        <v/>
      </c>
      <c r="EC54">
        <f>EC53-MIN(EC53,EB54)</f>
        <v/>
      </c>
      <c r="ED54">
        <f>EB54-(EC53-EC54)</f>
        <v/>
      </c>
      <c r="EE54">
        <f>MAX(0,ED54*(1+$E$28)-$F$28)</f>
        <v/>
      </c>
      <c r="EF54">
        <f>EF53-MIN(EF53,EE54)</f>
        <v/>
      </c>
      <c r="EG54">
        <f>EE54-(EF53-EF54)</f>
        <v/>
      </c>
      <c r="EH54">
        <f>MAX(0,EG54*(1+$E$28)-$F$28)</f>
        <v/>
      </c>
      <c r="EI54">
        <f>EI53-MIN(EI53,EH54)</f>
        <v/>
      </c>
      <c r="EJ54">
        <f>EH54-(EI53-EI54)</f>
        <v/>
      </c>
      <c r="EK54">
        <f>MAX(0,EJ54*(1+$E$28)-$F$28)</f>
        <v/>
      </c>
      <c r="EL54">
        <f>EL53-MIN(EL53,EK54)</f>
        <v/>
      </c>
      <c r="EM54">
        <f>EK54-(EL53-EL54)</f>
        <v/>
      </c>
      <c r="EN54">
        <f>MAX(0,EM54*(1+$E$28)-$F$28)</f>
        <v/>
      </c>
      <c r="EO54">
        <f>EO53-MIN(EO53,EN54)</f>
        <v/>
      </c>
      <c r="EP54">
        <f>EN54-(EO53-EO54)</f>
        <v/>
      </c>
      <c r="EQ54">
        <f>MAX(0,EP54*(1+$E$28)-$F$28)</f>
        <v/>
      </c>
      <c r="ER54">
        <f>ER53-MIN(ER53,EQ54)</f>
        <v/>
      </c>
      <c r="ES54">
        <f>EQ54-(ER53-ER54)</f>
        <v/>
      </c>
      <c r="ET54">
        <f>MAX(0,ES54*(1+$E$28)-$F$28)</f>
        <v/>
      </c>
      <c r="EU54">
        <f>EU53-MIN(EU53,ET54)</f>
        <v/>
      </c>
      <c r="EV54">
        <f>ET54-(EU53-EU54)</f>
        <v/>
      </c>
      <c r="EW54">
        <f>MAX(0,EV54*(1+$E$28)-$F$28)</f>
        <v/>
      </c>
      <c r="EX54">
        <f>EX53-MIN(EX53,EW54)</f>
        <v/>
      </c>
      <c r="EY54">
        <f>EW54-(EX53-EX54)</f>
        <v/>
      </c>
      <c r="EZ54">
        <f>MAX(0,EY54*(1+$E$28)-$F$28)</f>
        <v/>
      </c>
      <c r="FA54">
        <f>FA53-MIN(FA53,EZ54)</f>
        <v/>
      </c>
      <c r="FB54">
        <f>EZ54-(FA53-FA54)</f>
        <v/>
      </c>
      <c r="FC54">
        <f>MAX(0,FB54*(1+$E$28)-$F$28)</f>
        <v/>
      </c>
      <c r="FD54">
        <f>FD53-MIN(FD53,FC54)</f>
        <v/>
      </c>
      <c r="FE54">
        <f>FC54-(FD53-FD54)</f>
        <v/>
      </c>
      <c r="FF54">
        <f>MAX(0,FE54*(1+$E$28)-$F$28)</f>
        <v/>
      </c>
      <c r="FG54">
        <f>FG53-MIN(FG53,FF54)</f>
        <v/>
      </c>
      <c r="FH54">
        <f>FF54-(FG53-FG54)</f>
        <v/>
      </c>
      <c r="FI54">
        <f>MAX(0,FH54*(1+$E$28)-$F$28)</f>
        <v/>
      </c>
      <c r="FJ54">
        <f>FJ53-MIN(FJ53,FI54)</f>
        <v/>
      </c>
      <c r="FK54">
        <f>FI54-(FJ53-FJ54)</f>
        <v/>
      </c>
      <c r="FL54">
        <f>MAX(0,FK54*(1+$E$28)-$F$28)</f>
        <v/>
      </c>
      <c r="FM54">
        <f>FM53-MIN(FM53,FL54)</f>
        <v/>
      </c>
      <c r="FN54">
        <f>FL54-(FM53-FM54)</f>
        <v/>
      </c>
      <c r="FO54">
        <f>MAX(0,FN54*(1+$E$28)-$F$28)</f>
        <v/>
      </c>
      <c r="FP54">
        <f>FP53-MIN(FP53,FO54)</f>
        <v/>
      </c>
      <c r="FQ54">
        <f>FO54-(FP53-FP54)</f>
        <v/>
      </c>
      <c r="FR54">
        <f>MAX(0,FQ54*(1+$E$28)-$F$28)</f>
        <v/>
      </c>
      <c r="FS54">
        <f>FS53-MIN(FS53,FR54)</f>
        <v/>
      </c>
      <c r="FT54">
        <f>FR54-(FS53-FS54)</f>
        <v/>
      </c>
      <c r="FU54">
        <f>MAX(0,FT54*(1+$E$28)-$F$28)</f>
        <v/>
      </c>
      <c r="FV54">
        <f>FV53-MIN(FV53,FU54)</f>
        <v/>
      </c>
      <c r="FW54">
        <f>FU54-(FV53-FV54)</f>
        <v/>
      </c>
      <c r="FX54">
        <f>MAX(0,FW54*(1+$E$28)-$F$28)</f>
        <v/>
      </c>
      <c r="FY54">
        <f>FY53-MIN(FY53,FX54)</f>
        <v/>
      </c>
      <c r="FZ54">
        <f>FX54-(FY53-FY54)</f>
        <v/>
      </c>
      <c r="GA54">
        <f>MAX(0,FZ54*(1+$E$28)-$F$28)</f>
        <v/>
      </c>
      <c r="GB54">
        <f>GB53-MIN(GB53,GA54)</f>
        <v/>
      </c>
      <c r="GC54">
        <f>GA54-(GB53-GB54)</f>
        <v/>
      </c>
      <c r="GD54">
        <f>MAX(0,GC54*(1+$E$28)-$F$28)</f>
        <v/>
      </c>
      <c r="GE54">
        <f>GE53-MIN(GE53,GD54)</f>
        <v/>
      </c>
      <c r="GF54">
        <f>GD54-(GE53-GE54)</f>
        <v/>
      </c>
      <c r="GG54">
        <f>MAX(0,GF54*(1+$E$28)-$F$28)</f>
        <v/>
      </c>
      <c r="GH54">
        <f>GH53-MIN(GH53,GG54)</f>
        <v/>
      </c>
      <c r="GI54">
        <f>GG54-(GH53-GH54)</f>
        <v/>
      </c>
      <c r="GJ54">
        <f>MAX(0,GI54*(1+$E$28)-$F$28)</f>
        <v/>
      </c>
      <c r="GK54">
        <f>GK53-MIN(GK53,GJ54)</f>
        <v/>
      </c>
      <c r="GL54">
        <f>GJ54-(GK53-GK54)</f>
        <v/>
      </c>
      <c r="GM54">
        <f>MAX(0,GL54*(1+$E$28)-$F$28)</f>
        <v/>
      </c>
      <c r="GN54">
        <f>GN53-MIN(GN53,GM54)</f>
        <v/>
      </c>
      <c r="GO54">
        <f>GM54-(GN53-GN54)</f>
        <v/>
      </c>
      <c r="GP54">
        <f>MAX(0,GO54*(1+$E$28)-$F$28)</f>
        <v/>
      </c>
      <c r="GQ54">
        <f>GQ53-MIN(GQ53,GP54)</f>
        <v/>
      </c>
      <c r="GR54">
        <f>GP54-(GQ53-GQ54)</f>
        <v/>
      </c>
      <c r="GS54">
        <f>MAX(0,GR54*(1+$E$28)-$F$28)</f>
        <v/>
      </c>
      <c r="GT54">
        <f>GT53-MIN(GT53,GS54)</f>
        <v/>
      </c>
      <c r="GU54">
        <f>GS54-(GT53-GT54)</f>
        <v/>
      </c>
      <c r="GV54">
        <f>MAX(0,GU54*(1+$E$28)-$F$28)</f>
        <v/>
      </c>
      <c r="GW54">
        <f>GW53-MIN(GW53,GV54)</f>
        <v/>
      </c>
      <c r="GX54">
        <f>GV54-(GW53-GW54)</f>
        <v/>
      </c>
      <c r="GY54">
        <f>MAX(0,GX54*(1+$E$28)-$F$28)</f>
        <v/>
      </c>
      <c r="GZ54">
        <f>GZ53-MIN(GZ53,GY54)</f>
        <v/>
      </c>
      <c r="HA54">
        <f>GY54-(GZ53-GZ54)</f>
        <v/>
      </c>
      <c r="HB54">
        <f>MAX(0,HA54*(1+$E$28)-$F$28)</f>
        <v/>
      </c>
      <c r="HC54">
        <f>HC53-MIN(HC53,HB54)</f>
        <v/>
      </c>
      <c r="HD54">
        <f>HB54-(HC53-HC54)</f>
        <v/>
      </c>
      <c r="HE54">
        <f>MAX(0,HD54*(1+$E$28)-$F$28)</f>
        <v/>
      </c>
      <c r="HF54">
        <f>HF53-MIN(HF53,HE54)</f>
        <v/>
      </c>
      <c r="HG54">
        <f>HE54-(HF53-HF54)</f>
        <v/>
      </c>
      <c r="HH54">
        <f>MAX(0,HG54*(1+$E$28)-$F$28)</f>
        <v/>
      </c>
      <c r="HI54">
        <f>HI53-MIN(HI53,HH54)</f>
        <v/>
      </c>
      <c r="HJ54">
        <f>HH54-(HI53-HI54)</f>
        <v/>
      </c>
      <c r="HK54">
        <f>MAX(0,HJ54*(1+$E$28)-$F$28)</f>
        <v/>
      </c>
      <c r="HL54">
        <f>HL53-MIN(HL53,HK54)</f>
        <v/>
      </c>
      <c r="HM54">
        <f>HK54-(HL53-HL54)</f>
        <v/>
      </c>
      <c r="HN54">
        <f>MAX(0,HM54*(1+$E$28)-$F$28)</f>
        <v/>
      </c>
      <c r="HO54">
        <f>HO53-MIN(HO53,HN54)</f>
        <v/>
      </c>
      <c r="HP54">
        <f>HN54-(HO53-HO54)</f>
        <v/>
      </c>
      <c r="HQ54">
        <f>MAX(0,HP54*(1+$E$28)-$F$28)</f>
        <v/>
      </c>
      <c r="HR54">
        <f>HR53-MIN(HR53,HQ54)</f>
        <v/>
      </c>
      <c r="HS54">
        <f>HQ54-(HR53-HR54)</f>
        <v/>
      </c>
      <c r="HT54">
        <f>MAX(0,HS54*(1+$E$28)-$F$28)</f>
        <v/>
      </c>
      <c r="HU54">
        <f>HU53-MIN(HU53,HT54)</f>
        <v/>
      </c>
      <c r="HV54">
        <f>HT54-(HU53-HU54)</f>
        <v/>
      </c>
      <c r="HW54">
        <f>MAX(0,HV54*(1+$E$28)-$F$28)</f>
        <v/>
      </c>
      <c r="HX54">
        <f>HX53-MIN(HX53,HW54)</f>
        <v/>
      </c>
      <c r="HY54">
        <f>HW54-(HX53-HX54)</f>
        <v/>
      </c>
      <c r="HZ54">
        <f>MAX(0,HY54*(1+$E$28)-$F$28)</f>
        <v/>
      </c>
      <c r="IA54">
        <f>IA53-MIN(IA53,HZ54)</f>
        <v/>
      </c>
      <c r="IB54">
        <f>HZ54-(IA53-IA54)</f>
        <v/>
      </c>
      <c r="IC54">
        <f>MAX(0,IB54*(1+$E$28)-$F$28)</f>
        <v/>
      </c>
      <c r="ID54">
        <f>ID53-MIN(ID53,IC54)</f>
        <v/>
      </c>
      <c r="IE54">
        <f>IC54-(ID53-ID54)</f>
        <v/>
      </c>
      <c r="IF54">
        <f>MAX(0,IE54*(1+$E$28)-$F$28)</f>
        <v/>
      </c>
      <c r="IG54">
        <f>IG53-MIN(IG53,IF54)</f>
        <v/>
      </c>
      <c r="IH54">
        <f>IF54-(IG53-IG54)</f>
        <v/>
      </c>
      <c r="II54">
        <f>MAX(0,IH54*(1+$E$28)-$F$28)</f>
        <v/>
      </c>
      <c r="IJ54">
        <f>IJ53-MIN(IJ53,II54)</f>
        <v/>
      </c>
      <c r="IK54">
        <f>II54-(IJ53-IJ54)</f>
        <v/>
      </c>
      <c r="IL54">
        <f>MAX(0,IK54*(1+$E$28)-$F$28)</f>
        <v/>
      </c>
      <c r="IM54">
        <f>IM53-MIN(IM53,IL54)</f>
        <v/>
      </c>
      <c r="IN54">
        <f>IL54-(IM53-IM54)</f>
        <v/>
      </c>
      <c r="IO54">
        <f>MAX(0,IN54*(1+$E$28)-$F$28)</f>
        <v/>
      </c>
      <c r="IP54">
        <f>IP53-MIN(IP53,IO54)</f>
        <v/>
      </c>
      <c r="IQ54">
        <f>IO54-(IP53-IP54)</f>
        <v/>
      </c>
      <c r="IR54">
        <f>MAX(0,IQ54*(1+$E$28)-$F$28)</f>
        <v/>
      </c>
      <c r="IS54">
        <f>IS53-MIN(IS53,IR54)</f>
        <v/>
      </c>
      <c r="IT54">
        <f>IR54-(IS53-IS54)</f>
        <v/>
      </c>
      <c r="IU54">
        <f>MAX(0,IT54*(1+$E$28)-$F$28)</f>
        <v/>
      </c>
      <c r="IV54">
        <f>IV53-MIN(IV53,IU54)</f>
        <v/>
      </c>
      <c r="IW54">
        <f>IU54-(IV53-IV54)</f>
        <v/>
      </c>
      <c r="IX54">
        <f>MAX(0,IW54*(1+$E$28)-$F$28)</f>
        <v/>
      </c>
      <c r="IY54">
        <f>IY53-MIN(IY53,IX54)</f>
        <v/>
      </c>
      <c r="IZ54">
        <f>IX54-(IY53-IY54)</f>
        <v/>
      </c>
      <c r="JA54">
        <f>MAX(0,IZ54*(1+$E$28)-$F$28)</f>
        <v/>
      </c>
      <c r="JB54">
        <f>JB53-MIN(JB53,JA54)</f>
        <v/>
      </c>
      <c r="JC54">
        <f>JA54-(JB53-JB54)</f>
        <v/>
      </c>
      <c r="JD54">
        <f>MAX(0,JC54*(1+$E$28)-$F$28)</f>
        <v/>
      </c>
      <c r="JE54">
        <f>JE53-MIN(JE53,JD54)</f>
        <v/>
      </c>
      <c r="JF54">
        <f>JD54-(JE53-JE54)</f>
        <v/>
      </c>
      <c r="JG54">
        <f>MAX(0,JF54*(1+$E$28)-$F$28)</f>
        <v/>
      </c>
      <c r="JH54">
        <f>JH53-MIN(JH53,JG54)</f>
        <v/>
      </c>
      <c r="JI54">
        <f>JG54-(JH53-JH54)</f>
        <v/>
      </c>
      <c r="JJ54">
        <f>MAX(0,JI54*(1+$E$28)-$F$28)</f>
        <v/>
      </c>
      <c r="JK54">
        <f>JK53-MIN(JK53,JJ54)</f>
        <v/>
      </c>
      <c r="JL54">
        <f>JJ54-(JK53-JK54)</f>
        <v/>
      </c>
      <c r="JM54">
        <f>MAX(0,JL54*(1+$E$28)-$F$28)</f>
        <v/>
      </c>
      <c r="JN54">
        <f>JN53-MIN(JN53,JM54)</f>
        <v/>
      </c>
      <c r="JO54">
        <f>JM54-(JN53-JN54)</f>
        <v/>
      </c>
      <c r="JP54">
        <f>MAX(0,JO54*(1+$E$28)-$F$28)</f>
        <v/>
      </c>
      <c r="JQ54">
        <f>JQ53-MIN(JQ53,JP54)</f>
        <v/>
      </c>
      <c r="JR54">
        <f>JP54-(JQ53-JQ54)</f>
        <v/>
      </c>
      <c r="JS54">
        <f>MAX(0,JR54*(1+$E$28)-$F$28)</f>
        <v/>
      </c>
      <c r="JT54">
        <f>JT53-MIN(JT53,JS54)</f>
        <v/>
      </c>
      <c r="JU54">
        <f>JS54-(JT53-JT54)</f>
        <v/>
      </c>
      <c r="JV54">
        <f>MAX(0,JU54*(1+$E$28)-$F$28)</f>
        <v/>
      </c>
      <c r="JW54">
        <f>JW53-MIN(JW53,JV54)</f>
        <v/>
      </c>
      <c r="JX54">
        <f>JV54-(JW53-JW54)</f>
        <v/>
      </c>
      <c r="JY54">
        <f>MAX(0,JX54*(1+$E$28)-$F$28)</f>
        <v/>
      </c>
      <c r="JZ54">
        <f>JZ53-MIN(JZ53,JY54)</f>
        <v/>
      </c>
      <c r="KA54">
        <f>JY54-(JZ53-JZ54)</f>
        <v/>
      </c>
      <c r="KB54">
        <f>MAX(0,KA54*(1+$E$28)-$F$28)</f>
        <v/>
      </c>
      <c r="KC54">
        <f>KC53-MIN(KC53,KB54)</f>
        <v/>
      </c>
      <c r="KD54">
        <f>KB54-(KC53-KC54)</f>
        <v/>
      </c>
      <c r="KE54">
        <f>MAX(0,KD54*(1+$E$28)-$F$28)</f>
        <v/>
      </c>
      <c r="KF54">
        <f>KF53-MIN(KF53,KE54)</f>
        <v/>
      </c>
      <c r="KG54">
        <f>KE54-(KF53-KF54)</f>
        <v/>
      </c>
      <c r="KH54">
        <f>MAX(0,KG54*(1+$E$28)-$F$28)</f>
        <v/>
      </c>
      <c r="KI54">
        <f>KI53-MIN(KI53,KH54)</f>
        <v/>
      </c>
      <c r="KJ54">
        <f>KH54-(KI53-KI54)</f>
        <v/>
      </c>
      <c r="KK54">
        <f>MAX(0,KJ54*(1+$E$28)-$F$28)</f>
        <v/>
      </c>
      <c r="KL54">
        <f>KL53-MIN(KL53,KK54)</f>
        <v/>
      </c>
      <c r="KM54">
        <f>KK54-(KL53-KL54)</f>
        <v/>
      </c>
      <c r="KN54">
        <f>MAX(0,KM54*(1+$E$28)-$F$28)</f>
        <v/>
      </c>
      <c r="KO54">
        <f>KO53-MIN(KO53,KN54)</f>
        <v/>
      </c>
      <c r="KP54">
        <f>KN54-(KO53-KO54)</f>
        <v/>
      </c>
      <c r="KQ54">
        <f>MAX(0,KP54*(1+$E$28)-$F$28)</f>
        <v/>
      </c>
      <c r="KR54">
        <f>KR53-MIN(KR53,KQ54)</f>
        <v/>
      </c>
      <c r="KS54">
        <f>KQ54-(KR53-KR54)</f>
        <v/>
      </c>
      <c r="KT54">
        <f>MAX(0,KS54*(1+$E$28)-$F$28)</f>
        <v/>
      </c>
      <c r="KU54">
        <f>KU53-MIN(KU53,KT54)</f>
        <v/>
      </c>
      <c r="KV54">
        <f>KT54-(KU53-KU54)</f>
        <v/>
      </c>
      <c r="KW54">
        <f>MAX(0,KV54*(1+$E$28)-$F$28)</f>
        <v/>
      </c>
      <c r="KX54">
        <f>KX53-MIN(KX53,KW54)</f>
        <v/>
      </c>
      <c r="KY54">
        <f>KW54-(KX53-KX54)</f>
        <v/>
      </c>
      <c r="KZ54">
        <f>MAX(0,KY54*(1+$E$28)-$F$28)</f>
        <v/>
      </c>
      <c r="LA54">
        <f>LA53-MIN(LA53,KZ54)</f>
        <v/>
      </c>
      <c r="LB54">
        <f>KZ54-(LA53-LA54)</f>
        <v/>
      </c>
      <c r="LC54">
        <f>MAX(0,LB54*(1+$E$28)-$F$28)</f>
        <v/>
      </c>
      <c r="LD54">
        <f>LD53-MIN(LD53,LC54)</f>
        <v/>
      </c>
      <c r="LE54">
        <f>LC54-(LD53-LD54)</f>
        <v/>
      </c>
      <c r="LF54">
        <f>MAX(0,LE54*(1+$E$28)-$F$28)</f>
        <v/>
      </c>
      <c r="LG54">
        <f>LG53-MIN(LG53,LF54)</f>
        <v/>
      </c>
      <c r="LH54">
        <f>LF54-(LG53-LG54)</f>
        <v/>
      </c>
      <c r="LI54">
        <f>MAX(0,LH54*(1+$E$28)-$F$28)</f>
        <v/>
      </c>
      <c r="LJ54">
        <f>LJ53-MIN(LJ53,LI54)</f>
        <v/>
      </c>
      <c r="LK54">
        <f>LI54-(LJ53-LJ54)</f>
        <v/>
      </c>
      <c r="LL54">
        <f>MAX(0,LK54*(1+$E$28)-$F$28)</f>
        <v/>
      </c>
      <c r="LM54">
        <f>LM53-MIN(LM53,LL54)</f>
        <v/>
      </c>
      <c r="LN54">
        <f>LL54-(LM53-LM54)</f>
        <v/>
      </c>
      <c r="LO54">
        <f>MAX(0,LN54*(1+$E$28)-$F$28)</f>
        <v/>
      </c>
      <c r="LP54">
        <f>LP53-MIN(LP53,LO54)</f>
        <v/>
      </c>
      <c r="LQ54">
        <f>LO54-(LP53-LP54)</f>
        <v/>
      </c>
      <c r="LR54">
        <f>MAX(0,LQ54*(1+$E$28)-$F$28)</f>
        <v/>
      </c>
      <c r="LS54">
        <f>LS53-MIN(LS53,LR54)</f>
        <v/>
      </c>
      <c r="LT54">
        <f>LR54-(LS53-LS54)</f>
        <v/>
      </c>
      <c r="LU54">
        <f>MAX(0,LT54*(1+$E$28)-$F$28)</f>
        <v/>
      </c>
      <c r="LV54">
        <f>LV53-MIN(LV53,LU54)</f>
        <v/>
      </c>
      <c r="LW54">
        <f>LU54-(LV53-LV54)</f>
        <v/>
      </c>
      <c r="LX54">
        <f>MAX(0,LW54*(1+$E$28)-$F$28)</f>
        <v/>
      </c>
      <c r="LY54">
        <f>LY53-MIN(LY53,LX54)</f>
        <v/>
      </c>
      <c r="LZ54">
        <f>LX54-(LY53-LY54)</f>
        <v/>
      </c>
      <c r="MA54">
        <f>MAX(0,LZ54*(1+$E$28)-$F$28)</f>
        <v/>
      </c>
      <c r="MB54">
        <f>MB53-MIN(MB53,MA54)</f>
        <v/>
      </c>
      <c r="MC54">
        <f>MA54-(MB53-MB54)</f>
        <v/>
      </c>
      <c r="MD54">
        <f>MAX(0,MC54*(1+$E$28)-$F$28)</f>
        <v/>
      </c>
      <c r="ME54">
        <f>ME53-MIN(ME53,MD54)</f>
        <v/>
      </c>
      <c r="MF54">
        <f>MD54-(ME53-ME54)</f>
        <v/>
      </c>
      <c r="MG54">
        <f>MAX(0,MF54*(1+$E$28)-$F$28)</f>
        <v/>
      </c>
      <c r="MH54">
        <f>MH53-MIN(MH53,MG54)</f>
        <v/>
      </c>
      <c r="MI54">
        <f>MG54-(MH53-MH54)</f>
        <v/>
      </c>
      <c r="MJ54">
        <f>MAX(0,MI54*(1+$E$28)-$F$28)</f>
        <v/>
      </c>
      <c r="MK54">
        <f>MK53-MIN(MK53,MJ54)</f>
        <v/>
      </c>
      <c r="ML54">
        <f>MJ54-(MK53-MK54)</f>
        <v/>
      </c>
      <c r="MM54">
        <f>MAX(0,ML54*(1+$E$28)-$F$28)</f>
        <v/>
      </c>
      <c r="MN54">
        <f>MN53-MIN(MN53,MM54)</f>
        <v/>
      </c>
      <c r="MO54">
        <f>MM54-(MN53-MN54)</f>
        <v/>
      </c>
      <c r="MP54">
        <f>MAX(0,MO54*(1+$E$28)-$F$28)</f>
        <v/>
      </c>
      <c r="MQ54">
        <f>MQ53-MIN(MQ53,MP54)</f>
        <v/>
      </c>
      <c r="MR54">
        <f>MP54-(MQ53-MQ54)</f>
        <v/>
      </c>
      <c r="MS54">
        <f>MAX(0,MR54*(1+$E$28)-$F$28)</f>
        <v/>
      </c>
      <c r="MT54">
        <f>MT53-MIN(MT53,MS54)</f>
        <v/>
      </c>
      <c r="MU54">
        <f>MS54-(MT53-MT54)</f>
        <v/>
      </c>
      <c r="MV54">
        <f>MAX(0,MU54*(1+$E$28)-$F$28)</f>
        <v/>
      </c>
      <c r="MW54">
        <f>MW53-MIN(MW53,MV54)</f>
        <v/>
      </c>
      <c r="MX54">
        <f>MV54-(MW53-MW54)</f>
        <v/>
      </c>
    </row>
    <row r="55">
      <c r="A55" t="inlineStr">
        <is>
          <t>slot 6</t>
        </is>
      </c>
      <c r="B55">
        <f>D29</f>
        <v/>
      </c>
      <c r="C55">
        <f>MAX(0,B55*(1+$E$29)-$F$29)</f>
        <v/>
      </c>
      <c r="D55">
        <f>D54-MIN(D54,C55)</f>
        <v/>
      </c>
      <c r="E55">
        <f>C55-(D54-D55)</f>
        <v/>
      </c>
      <c r="F55">
        <f>MAX(0,E55*(1+$E$29)-$F$29)</f>
        <v/>
      </c>
      <c r="G55">
        <f>G54-MIN(G54,F55)</f>
        <v/>
      </c>
      <c r="H55">
        <f>F55-(G54-G55)</f>
        <v/>
      </c>
      <c r="I55">
        <f>MAX(0,H55*(1+$E$29)-$F$29)</f>
        <v/>
      </c>
      <c r="J55">
        <f>J54-MIN(J54,I55)</f>
        <v/>
      </c>
      <c r="K55">
        <f>I55-(J54-J55)</f>
        <v/>
      </c>
      <c r="L55">
        <f>MAX(0,K55*(1+$E$29)-$F$29)</f>
        <v/>
      </c>
      <c r="M55">
        <f>M54-MIN(M54,L55)</f>
        <v/>
      </c>
      <c r="N55">
        <f>L55-(M54-M55)</f>
        <v/>
      </c>
      <c r="O55">
        <f>MAX(0,N55*(1+$E$29)-$F$29)</f>
        <v/>
      </c>
      <c r="P55">
        <f>P54-MIN(P54,O55)</f>
        <v/>
      </c>
      <c r="Q55">
        <f>O55-(P54-P55)</f>
        <v/>
      </c>
      <c r="R55">
        <f>MAX(0,Q55*(1+$E$29)-$F$29)</f>
        <v/>
      </c>
      <c r="S55">
        <f>S54-MIN(S54,R55)</f>
        <v/>
      </c>
      <c r="T55">
        <f>R55-(S54-S55)</f>
        <v/>
      </c>
      <c r="U55">
        <f>MAX(0,T55*(1+$E$29)-$F$29)</f>
        <v/>
      </c>
      <c r="V55">
        <f>V54-MIN(V54,U55)</f>
        <v/>
      </c>
      <c r="W55">
        <f>U55-(V54-V55)</f>
        <v/>
      </c>
      <c r="X55">
        <f>MAX(0,W55*(1+$E$29)-$F$29)</f>
        <v/>
      </c>
      <c r="Y55">
        <f>Y54-MIN(Y54,X55)</f>
        <v/>
      </c>
      <c r="Z55">
        <f>X55-(Y54-Y55)</f>
        <v/>
      </c>
      <c r="AA55">
        <f>MAX(0,Z55*(1+$E$29)-$F$29)</f>
        <v/>
      </c>
      <c r="AB55">
        <f>AB54-MIN(AB54,AA55)</f>
        <v/>
      </c>
      <c r="AC55">
        <f>AA55-(AB54-AB55)</f>
        <v/>
      </c>
      <c r="AD55">
        <f>MAX(0,AC55*(1+$E$29)-$F$29)</f>
        <v/>
      </c>
      <c r="AE55">
        <f>AE54-MIN(AE54,AD55)</f>
        <v/>
      </c>
      <c r="AF55">
        <f>AD55-(AE54-AE55)</f>
        <v/>
      </c>
      <c r="AG55">
        <f>MAX(0,AF55*(1+$E$29)-$F$29)</f>
        <v/>
      </c>
      <c r="AH55">
        <f>AH54-MIN(AH54,AG55)</f>
        <v/>
      </c>
      <c r="AI55">
        <f>AG55-(AH54-AH55)</f>
        <v/>
      </c>
      <c r="AJ55">
        <f>MAX(0,AI55*(1+$E$29)-$F$29)</f>
        <v/>
      </c>
      <c r="AK55">
        <f>AK54-MIN(AK54,AJ55)</f>
        <v/>
      </c>
      <c r="AL55">
        <f>AJ55-(AK54-AK55)</f>
        <v/>
      </c>
      <c r="AM55">
        <f>MAX(0,AL55*(1+$E$29)-$F$29)</f>
        <v/>
      </c>
      <c r="AN55">
        <f>AN54-MIN(AN54,AM55)</f>
        <v/>
      </c>
      <c r="AO55">
        <f>AM55-(AN54-AN55)</f>
        <v/>
      </c>
      <c r="AP55">
        <f>MAX(0,AO55*(1+$E$29)-$F$29)</f>
        <v/>
      </c>
      <c r="AQ55">
        <f>AQ54-MIN(AQ54,AP55)</f>
        <v/>
      </c>
      <c r="AR55">
        <f>AP55-(AQ54-AQ55)</f>
        <v/>
      </c>
      <c r="AS55">
        <f>MAX(0,AR55*(1+$E$29)-$F$29)</f>
        <v/>
      </c>
      <c r="AT55">
        <f>AT54-MIN(AT54,AS55)</f>
        <v/>
      </c>
      <c r="AU55">
        <f>AS55-(AT54-AT55)</f>
        <v/>
      </c>
      <c r="AV55">
        <f>MAX(0,AU55*(1+$E$29)-$F$29)</f>
        <v/>
      </c>
      <c r="AW55">
        <f>AW54-MIN(AW54,AV55)</f>
        <v/>
      </c>
      <c r="AX55">
        <f>AV55-(AW54-AW55)</f>
        <v/>
      </c>
      <c r="AY55">
        <f>MAX(0,AX55*(1+$E$29)-$F$29)</f>
        <v/>
      </c>
      <c r="AZ55">
        <f>AZ54-MIN(AZ54,AY55)</f>
        <v/>
      </c>
      <c r="BA55">
        <f>AY55-(AZ54-AZ55)</f>
        <v/>
      </c>
      <c r="BB55">
        <f>MAX(0,BA55*(1+$E$29)-$F$29)</f>
        <v/>
      </c>
      <c r="BC55">
        <f>BC54-MIN(BC54,BB55)</f>
        <v/>
      </c>
      <c r="BD55">
        <f>BB55-(BC54-BC55)</f>
        <v/>
      </c>
      <c r="BE55">
        <f>MAX(0,BD55*(1+$E$29)-$F$29)</f>
        <v/>
      </c>
      <c r="BF55">
        <f>BF54-MIN(BF54,BE55)</f>
        <v/>
      </c>
      <c r="BG55">
        <f>BE55-(BF54-BF55)</f>
        <v/>
      </c>
      <c r="BH55">
        <f>MAX(0,BG55*(1+$E$29)-$F$29)</f>
        <v/>
      </c>
      <c r="BI55">
        <f>BI54-MIN(BI54,BH55)</f>
        <v/>
      </c>
      <c r="BJ55">
        <f>BH55-(BI54-BI55)</f>
        <v/>
      </c>
      <c r="BK55">
        <f>MAX(0,BJ55*(1+$E$29)-$F$29)</f>
        <v/>
      </c>
      <c r="BL55">
        <f>BL54-MIN(BL54,BK55)</f>
        <v/>
      </c>
      <c r="BM55">
        <f>BK55-(BL54-BL55)</f>
        <v/>
      </c>
      <c r="BN55">
        <f>MAX(0,BM55*(1+$E$29)-$F$29)</f>
        <v/>
      </c>
      <c r="BO55">
        <f>BO54-MIN(BO54,BN55)</f>
        <v/>
      </c>
      <c r="BP55">
        <f>BN55-(BO54-BO55)</f>
        <v/>
      </c>
      <c r="BQ55">
        <f>MAX(0,BP55*(1+$E$29)-$F$29)</f>
        <v/>
      </c>
      <c r="BR55">
        <f>BR54-MIN(BR54,BQ55)</f>
        <v/>
      </c>
      <c r="BS55">
        <f>BQ55-(BR54-BR55)</f>
        <v/>
      </c>
      <c r="BT55">
        <f>MAX(0,BS55*(1+$E$29)-$F$29)</f>
        <v/>
      </c>
      <c r="BU55">
        <f>BU54-MIN(BU54,BT55)</f>
        <v/>
      </c>
      <c r="BV55">
        <f>BT55-(BU54-BU55)</f>
        <v/>
      </c>
      <c r="BW55">
        <f>MAX(0,BV55*(1+$E$29)-$F$29)</f>
        <v/>
      </c>
      <c r="BX55">
        <f>BX54-MIN(BX54,BW55)</f>
        <v/>
      </c>
      <c r="BY55">
        <f>BW55-(BX54-BX55)</f>
        <v/>
      </c>
      <c r="BZ55">
        <f>MAX(0,BY55*(1+$E$29)-$F$29)</f>
        <v/>
      </c>
      <c r="CA55">
        <f>CA54-MIN(CA54,BZ55)</f>
        <v/>
      </c>
      <c r="CB55">
        <f>BZ55-(CA54-CA55)</f>
        <v/>
      </c>
      <c r="CC55">
        <f>MAX(0,CB55*(1+$E$29)-$F$29)</f>
        <v/>
      </c>
      <c r="CD55">
        <f>CD54-MIN(CD54,CC55)</f>
        <v/>
      </c>
      <c r="CE55">
        <f>CC55-(CD54-CD55)</f>
        <v/>
      </c>
      <c r="CF55">
        <f>MAX(0,CE55*(1+$E$29)-$F$29)</f>
        <v/>
      </c>
      <c r="CG55">
        <f>CG54-MIN(CG54,CF55)</f>
        <v/>
      </c>
      <c r="CH55">
        <f>CF55-(CG54-CG55)</f>
        <v/>
      </c>
      <c r="CI55">
        <f>MAX(0,CH55*(1+$E$29)-$F$29)</f>
        <v/>
      </c>
      <c r="CJ55">
        <f>CJ54-MIN(CJ54,CI55)</f>
        <v/>
      </c>
      <c r="CK55">
        <f>CI55-(CJ54-CJ55)</f>
        <v/>
      </c>
      <c r="CL55">
        <f>MAX(0,CK55*(1+$E$29)-$F$29)</f>
        <v/>
      </c>
      <c r="CM55">
        <f>CM54-MIN(CM54,CL55)</f>
        <v/>
      </c>
      <c r="CN55">
        <f>CL55-(CM54-CM55)</f>
        <v/>
      </c>
      <c r="CO55">
        <f>MAX(0,CN55*(1+$E$29)-$F$29)</f>
        <v/>
      </c>
      <c r="CP55">
        <f>CP54-MIN(CP54,CO55)</f>
        <v/>
      </c>
      <c r="CQ55">
        <f>CO55-(CP54-CP55)</f>
        <v/>
      </c>
      <c r="CR55">
        <f>MAX(0,CQ55*(1+$E$29)-$F$29)</f>
        <v/>
      </c>
      <c r="CS55">
        <f>CS54-MIN(CS54,CR55)</f>
        <v/>
      </c>
      <c r="CT55">
        <f>CR55-(CS54-CS55)</f>
        <v/>
      </c>
      <c r="CU55">
        <f>MAX(0,CT55*(1+$E$29)-$F$29)</f>
        <v/>
      </c>
      <c r="CV55">
        <f>CV54-MIN(CV54,CU55)</f>
        <v/>
      </c>
      <c r="CW55">
        <f>CU55-(CV54-CV55)</f>
        <v/>
      </c>
      <c r="CX55">
        <f>MAX(0,CW55*(1+$E$29)-$F$29)</f>
        <v/>
      </c>
      <c r="CY55">
        <f>CY54-MIN(CY54,CX55)</f>
        <v/>
      </c>
      <c r="CZ55">
        <f>CX55-(CY54-CY55)</f>
        <v/>
      </c>
      <c r="DA55">
        <f>MAX(0,CZ55*(1+$E$29)-$F$29)</f>
        <v/>
      </c>
      <c r="DB55">
        <f>DB54-MIN(DB54,DA55)</f>
        <v/>
      </c>
      <c r="DC55">
        <f>DA55-(DB54-DB55)</f>
        <v/>
      </c>
      <c r="DD55">
        <f>MAX(0,DC55*(1+$E$29)-$F$29)</f>
        <v/>
      </c>
      <c r="DE55">
        <f>DE54-MIN(DE54,DD55)</f>
        <v/>
      </c>
      <c r="DF55">
        <f>DD55-(DE54-DE55)</f>
        <v/>
      </c>
      <c r="DG55">
        <f>MAX(0,DF55*(1+$E$29)-$F$29)</f>
        <v/>
      </c>
      <c r="DH55">
        <f>DH54-MIN(DH54,DG55)</f>
        <v/>
      </c>
      <c r="DI55">
        <f>DG55-(DH54-DH55)</f>
        <v/>
      </c>
      <c r="DJ55">
        <f>MAX(0,DI55*(1+$E$29)-$F$29)</f>
        <v/>
      </c>
      <c r="DK55">
        <f>DK54-MIN(DK54,DJ55)</f>
        <v/>
      </c>
      <c r="DL55">
        <f>DJ55-(DK54-DK55)</f>
        <v/>
      </c>
      <c r="DM55">
        <f>MAX(0,DL55*(1+$E$29)-$F$29)</f>
        <v/>
      </c>
      <c r="DN55">
        <f>DN54-MIN(DN54,DM55)</f>
        <v/>
      </c>
      <c r="DO55">
        <f>DM55-(DN54-DN55)</f>
        <v/>
      </c>
      <c r="DP55">
        <f>MAX(0,DO55*(1+$E$29)-$F$29)</f>
        <v/>
      </c>
      <c r="DQ55">
        <f>DQ54-MIN(DQ54,DP55)</f>
        <v/>
      </c>
      <c r="DR55">
        <f>DP55-(DQ54-DQ55)</f>
        <v/>
      </c>
      <c r="DS55">
        <f>MAX(0,DR55*(1+$E$29)-$F$29)</f>
        <v/>
      </c>
      <c r="DT55">
        <f>DT54-MIN(DT54,DS55)</f>
        <v/>
      </c>
      <c r="DU55">
        <f>DS55-(DT54-DT55)</f>
        <v/>
      </c>
      <c r="DV55">
        <f>MAX(0,DU55*(1+$E$29)-$F$29)</f>
        <v/>
      </c>
      <c r="DW55">
        <f>DW54-MIN(DW54,DV55)</f>
        <v/>
      </c>
      <c r="DX55">
        <f>DV55-(DW54-DW55)</f>
        <v/>
      </c>
      <c r="DY55">
        <f>MAX(0,DX55*(1+$E$29)-$F$29)</f>
        <v/>
      </c>
      <c r="DZ55">
        <f>DZ54-MIN(DZ54,DY55)</f>
        <v/>
      </c>
      <c r="EA55">
        <f>DY55-(DZ54-DZ55)</f>
        <v/>
      </c>
      <c r="EB55">
        <f>MAX(0,EA55*(1+$E$29)-$F$29)</f>
        <v/>
      </c>
      <c r="EC55">
        <f>EC54-MIN(EC54,EB55)</f>
        <v/>
      </c>
      <c r="ED55">
        <f>EB55-(EC54-EC55)</f>
        <v/>
      </c>
      <c r="EE55">
        <f>MAX(0,ED55*(1+$E$29)-$F$29)</f>
        <v/>
      </c>
      <c r="EF55">
        <f>EF54-MIN(EF54,EE55)</f>
        <v/>
      </c>
      <c r="EG55">
        <f>EE55-(EF54-EF55)</f>
        <v/>
      </c>
      <c r="EH55">
        <f>MAX(0,EG55*(1+$E$29)-$F$29)</f>
        <v/>
      </c>
      <c r="EI55">
        <f>EI54-MIN(EI54,EH55)</f>
        <v/>
      </c>
      <c r="EJ55">
        <f>EH55-(EI54-EI55)</f>
        <v/>
      </c>
      <c r="EK55">
        <f>MAX(0,EJ55*(1+$E$29)-$F$29)</f>
        <v/>
      </c>
      <c r="EL55">
        <f>EL54-MIN(EL54,EK55)</f>
        <v/>
      </c>
      <c r="EM55">
        <f>EK55-(EL54-EL55)</f>
        <v/>
      </c>
      <c r="EN55">
        <f>MAX(0,EM55*(1+$E$29)-$F$29)</f>
        <v/>
      </c>
      <c r="EO55">
        <f>EO54-MIN(EO54,EN55)</f>
        <v/>
      </c>
      <c r="EP55">
        <f>EN55-(EO54-EO55)</f>
        <v/>
      </c>
      <c r="EQ55">
        <f>MAX(0,EP55*(1+$E$29)-$F$29)</f>
        <v/>
      </c>
      <c r="ER55">
        <f>ER54-MIN(ER54,EQ55)</f>
        <v/>
      </c>
      <c r="ES55">
        <f>EQ55-(ER54-ER55)</f>
        <v/>
      </c>
      <c r="ET55">
        <f>MAX(0,ES55*(1+$E$29)-$F$29)</f>
        <v/>
      </c>
      <c r="EU55">
        <f>EU54-MIN(EU54,ET55)</f>
        <v/>
      </c>
      <c r="EV55">
        <f>ET55-(EU54-EU55)</f>
        <v/>
      </c>
      <c r="EW55">
        <f>MAX(0,EV55*(1+$E$29)-$F$29)</f>
        <v/>
      </c>
      <c r="EX55">
        <f>EX54-MIN(EX54,EW55)</f>
        <v/>
      </c>
      <c r="EY55">
        <f>EW55-(EX54-EX55)</f>
        <v/>
      </c>
      <c r="EZ55">
        <f>MAX(0,EY55*(1+$E$29)-$F$29)</f>
        <v/>
      </c>
      <c r="FA55">
        <f>FA54-MIN(FA54,EZ55)</f>
        <v/>
      </c>
      <c r="FB55">
        <f>EZ55-(FA54-FA55)</f>
        <v/>
      </c>
      <c r="FC55">
        <f>MAX(0,FB55*(1+$E$29)-$F$29)</f>
        <v/>
      </c>
      <c r="FD55">
        <f>FD54-MIN(FD54,FC55)</f>
        <v/>
      </c>
      <c r="FE55">
        <f>FC55-(FD54-FD55)</f>
        <v/>
      </c>
      <c r="FF55">
        <f>MAX(0,FE55*(1+$E$29)-$F$29)</f>
        <v/>
      </c>
      <c r="FG55">
        <f>FG54-MIN(FG54,FF55)</f>
        <v/>
      </c>
      <c r="FH55">
        <f>FF55-(FG54-FG55)</f>
        <v/>
      </c>
      <c r="FI55">
        <f>MAX(0,FH55*(1+$E$29)-$F$29)</f>
        <v/>
      </c>
      <c r="FJ55">
        <f>FJ54-MIN(FJ54,FI55)</f>
        <v/>
      </c>
      <c r="FK55">
        <f>FI55-(FJ54-FJ55)</f>
        <v/>
      </c>
      <c r="FL55">
        <f>MAX(0,FK55*(1+$E$29)-$F$29)</f>
        <v/>
      </c>
      <c r="FM55">
        <f>FM54-MIN(FM54,FL55)</f>
        <v/>
      </c>
      <c r="FN55">
        <f>FL55-(FM54-FM55)</f>
        <v/>
      </c>
      <c r="FO55">
        <f>MAX(0,FN55*(1+$E$29)-$F$29)</f>
        <v/>
      </c>
      <c r="FP55">
        <f>FP54-MIN(FP54,FO55)</f>
        <v/>
      </c>
      <c r="FQ55">
        <f>FO55-(FP54-FP55)</f>
        <v/>
      </c>
      <c r="FR55">
        <f>MAX(0,FQ55*(1+$E$29)-$F$29)</f>
        <v/>
      </c>
      <c r="FS55">
        <f>FS54-MIN(FS54,FR55)</f>
        <v/>
      </c>
      <c r="FT55">
        <f>FR55-(FS54-FS55)</f>
        <v/>
      </c>
      <c r="FU55">
        <f>MAX(0,FT55*(1+$E$29)-$F$29)</f>
        <v/>
      </c>
      <c r="FV55">
        <f>FV54-MIN(FV54,FU55)</f>
        <v/>
      </c>
      <c r="FW55">
        <f>FU55-(FV54-FV55)</f>
        <v/>
      </c>
      <c r="FX55">
        <f>MAX(0,FW55*(1+$E$29)-$F$29)</f>
        <v/>
      </c>
      <c r="FY55">
        <f>FY54-MIN(FY54,FX55)</f>
        <v/>
      </c>
      <c r="FZ55">
        <f>FX55-(FY54-FY55)</f>
        <v/>
      </c>
      <c r="GA55">
        <f>MAX(0,FZ55*(1+$E$29)-$F$29)</f>
        <v/>
      </c>
      <c r="GB55">
        <f>GB54-MIN(GB54,GA55)</f>
        <v/>
      </c>
      <c r="GC55">
        <f>GA55-(GB54-GB55)</f>
        <v/>
      </c>
      <c r="GD55">
        <f>MAX(0,GC55*(1+$E$29)-$F$29)</f>
        <v/>
      </c>
      <c r="GE55">
        <f>GE54-MIN(GE54,GD55)</f>
        <v/>
      </c>
      <c r="GF55">
        <f>GD55-(GE54-GE55)</f>
        <v/>
      </c>
      <c r="GG55">
        <f>MAX(0,GF55*(1+$E$29)-$F$29)</f>
        <v/>
      </c>
      <c r="GH55">
        <f>GH54-MIN(GH54,GG55)</f>
        <v/>
      </c>
      <c r="GI55">
        <f>GG55-(GH54-GH55)</f>
        <v/>
      </c>
      <c r="GJ55">
        <f>MAX(0,GI55*(1+$E$29)-$F$29)</f>
        <v/>
      </c>
      <c r="GK55">
        <f>GK54-MIN(GK54,GJ55)</f>
        <v/>
      </c>
      <c r="GL55">
        <f>GJ55-(GK54-GK55)</f>
        <v/>
      </c>
      <c r="GM55">
        <f>MAX(0,GL55*(1+$E$29)-$F$29)</f>
        <v/>
      </c>
      <c r="GN55">
        <f>GN54-MIN(GN54,GM55)</f>
        <v/>
      </c>
      <c r="GO55">
        <f>GM55-(GN54-GN55)</f>
        <v/>
      </c>
      <c r="GP55">
        <f>MAX(0,GO55*(1+$E$29)-$F$29)</f>
        <v/>
      </c>
      <c r="GQ55">
        <f>GQ54-MIN(GQ54,GP55)</f>
        <v/>
      </c>
      <c r="GR55">
        <f>GP55-(GQ54-GQ55)</f>
        <v/>
      </c>
      <c r="GS55">
        <f>MAX(0,GR55*(1+$E$29)-$F$29)</f>
        <v/>
      </c>
      <c r="GT55">
        <f>GT54-MIN(GT54,GS55)</f>
        <v/>
      </c>
      <c r="GU55">
        <f>GS55-(GT54-GT55)</f>
        <v/>
      </c>
      <c r="GV55">
        <f>MAX(0,GU55*(1+$E$29)-$F$29)</f>
        <v/>
      </c>
      <c r="GW55">
        <f>GW54-MIN(GW54,GV55)</f>
        <v/>
      </c>
      <c r="GX55">
        <f>GV55-(GW54-GW55)</f>
        <v/>
      </c>
      <c r="GY55">
        <f>MAX(0,GX55*(1+$E$29)-$F$29)</f>
        <v/>
      </c>
      <c r="GZ55">
        <f>GZ54-MIN(GZ54,GY55)</f>
        <v/>
      </c>
      <c r="HA55">
        <f>GY55-(GZ54-GZ55)</f>
        <v/>
      </c>
      <c r="HB55">
        <f>MAX(0,HA55*(1+$E$29)-$F$29)</f>
        <v/>
      </c>
      <c r="HC55">
        <f>HC54-MIN(HC54,HB55)</f>
        <v/>
      </c>
      <c r="HD55">
        <f>HB55-(HC54-HC55)</f>
        <v/>
      </c>
      <c r="HE55">
        <f>MAX(0,HD55*(1+$E$29)-$F$29)</f>
        <v/>
      </c>
      <c r="HF55">
        <f>HF54-MIN(HF54,HE55)</f>
        <v/>
      </c>
      <c r="HG55">
        <f>HE55-(HF54-HF55)</f>
        <v/>
      </c>
      <c r="HH55">
        <f>MAX(0,HG55*(1+$E$29)-$F$29)</f>
        <v/>
      </c>
      <c r="HI55">
        <f>HI54-MIN(HI54,HH55)</f>
        <v/>
      </c>
      <c r="HJ55">
        <f>HH55-(HI54-HI55)</f>
        <v/>
      </c>
      <c r="HK55">
        <f>MAX(0,HJ55*(1+$E$29)-$F$29)</f>
        <v/>
      </c>
      <c r="HL55">
        <f>HL54-MIN(HL54,HK55)</f>
        <v/>
      </c>
      <c r="HM55">
        <f>HK55-(HL54-HL55)</f>
        <v/>
      </c>
      <c r="HN55">
        <f>MAX(0,HM55*(1+$E$29)-$F$29)</f>
        <v/>
      </c>
      <c r="HO55">
        <f>HO54-MIN(HO54,HN55)</f>
        <v/>
      </c>
      <c r="HP55">
        <f>HN55-(HO54-HO55)</f>
        <v/>
      </c>
      <c r="HQ55">
        <f>MAX(0,HP55*(1+$E$29)-$F$29)</f>
        <v/>
      </c>
      <c r="HR55">
        <f>HR54-MIN(HR54,HQ55)</f>
        <v/>
      </c>
      <c r="HS55">
        <f>HQ55-(HR54-HR55)</f>
        <v/>
      </c>
      <c r="HT55">
        <f>MAX(0,HS55*(1+$E$29)-$F$29)</f>
        <v/>
      </c>
      <c r="HU55">
        <f>HU54-MIN(HU54,HT55)</f>
        <v/>
      </c>
      <c r="HV55">
        <f>HT55-(HU54-HU55)</f>
        <v/>
      </c>
      <c r="HW55">
        <f>MAX(0,HV55*(1+$E$29)-$F$29)</f>
        <v/>
      </c>
      <c r="HX55">
        <f>HX54-MIN(HX54,HW55)</f>
        <v/>
      </c>
      <c r="HY55">
        <f>HW55-(HX54-HX55)</f>
        <v/>
      </c>
      <c r="HZ55">
        <f>MAX(0,HY55*(1+$E$29)-$F$29)</f>
        <v/>
      </c>
      <c r="IA55">
        <f>IA54-MIN(IA54,HZ55)</f>
        <v/>
      </c>
      <c r="IB55">
        <f>HZ55-(IA54-IA55)</f>
        <v/>
      </c>
      <c r="IC55">
        <f>MAX(0,IB55*(1+$E$29)-$F$29)</f>
        <v/>
      </c>
      <c r="ID55">
        <f>ID54-MIN(ID54,IC55)</f>
        <v/>
      </c>
      <c r="IE55">
        <f>IC55-(ID54-ID55)</f>
        <v/>
      </c>
      <c r="IF55">
        <f>MAX(0,IE55*(1+$E$29)-$F$29)</f>
        <v/>
      </c>
      <c r="IG55">
        <f>IG54-MIN(IG54,IF55)</f>
        <v/>
      </c>
      <c r="IH55">
        <f>IF55-(IG54-IG55)</f>
        <v/>
      </c>
      <c r="II55">
        <f>MAX(0,IH55*(1+$E$29)-$F$29)</f>
        <v/>
      </c>
      <c r="IJ55">
        <f>IJ54-MIN(IJ54,II55)</f>
        <v/>
      </c>
      <c r="IK55">
        <f>II55-(IJ54-IJ55)</f>
        <v/>
      </c>
      <c r="IL55">
        <f>MAX(0,IK55*(1+$E$29)-$F$29)</f>
        <v/>
      </c>
      <c r="IM55">
        <f>IM54-MIN(IM54,IL55)</f>
        <v/>
      </c>
      <c r="IN55">
        <f>IL55-(IM54-IM55)</f>
        <v/>
      </c>
      <c r="IO55">
        <f>MAX(0,IN55*(1+$E$29)-$F$29)</f>
        <v/>
      </c>
      <c r="IP55">
        <f>IP54-MIN(IP54,IO55)</f>
        <v/>
      </c>
      <c r="IQ55">
        <f>IO55-(IP54-IP55)</f>
        <v/>
      </c>
      <c r="IR55">
        <f>MAX(0,IQ55*(1+$E$29)-$F$29)</f>
        <v/>
      </c>
      <c r="IS55">
        <f>IS54-MIN(IS54,IR55)</f>
        <v/>
      </c>
      <c r="IT55">
        <f>IR55-(IS54-IS55)</f>
        <v/>
      </c>
      <c r="IU55">
        <f>MAX(0,IT55*(1+$E$29)-$F$29)</f>
        <v/>
      </c>
      <c r="IV55">
        <f>IV54-MIN(IV54,IU55)</f>
        <v/>
      </c>
      <c r="IW55">
        <f>IU55-(IV54-IV55)</f>
        <v/>
      </c>
      <c r="IX55">
        <f>MAX(0,IW55*(1+$E$29)-$F$29)</f>
        <v/>
      </c>
      <c r="IY55">
        <f>IY54-MIN(IY54,IX55)</f>
        <v/>
      </c>
      <c r="IZ55">
        <f>IX55-(IY54-IY55)</f>
        <v/>
      </c>
      <c r="JA55">
        <f>MAX(0,IZ55*(1+$E$29)-$F$29)</f>
        <v/>
      </c>
      <c r="JB55">
        <f>JB54-MIN(JB54,JA55)</f>
        <v/>
      </c>
      <c r="JC55">
        <f>JA55-(JB54-JB55)</f>
        <v/>
      </c>
      <c r="JD55">
        <f>MAX(0,JC55*(1+$E$29)-$F$29)</f>
        <v/>
      </c>
      <c r="JE55">
        <f>JE54-MIN(JE54,JD55)</f>
        <v/>
      </c>
      <c r="JF55">
        <f>JD55-(JE54-JE55)</f>
        <v/>
      </c>
      <c r="JG55">
        <f>MAX(0,JF55*(1+$E$29)-$F$29)</f>
        <v/>
      </c>
      <c r="JH55">
        <f>JH54-MIN(JH54,JG55)</f>
        <v/>
      </c>
      <c r="JI55">
        <f>JG55-(JH54-JH55)</f>
        <v/>
      </c>
      <c r="JJ55">
        <f>MAX(0,JI55*(1+$E$29)-$F$29)</f>
        <v/>
      </c>
      <c r="JK55">
        <f>JK54-MIN(JK54,JJ55)</f>
        <v/>
      </c>
      <c r="JL55">
        <f>JJ55-(JK54-JK55)</f>
        <v/>
      </c>
      <c r="JM55">
        <f>MAX(0,JL55*(1+$E$29)-$F$29)</f>
        <v/>
      </c>
      <c r="JN55">
        <f>JN54-MIN(JN54,JM55)</f>
        <v/>
      </c>
      <c r="JO55">
        <f>JM55-(JN54-JN55)</f>
        <v/>
      </c>
      <c r="JP55">
        <f>MAX(0,JO55*(1+$E$29)-$F$29)</f>
        <v/>
      </c>
      <c r="JQ55">
        <f>JQ54-MIN(JQ54,JP55)</f>
        <v/>
      </c>
      <c r="JR55">
        <f>JP55-(JQ54-JQ55)</f>
        <v/>
      </c>
      <c r="JS55">
        <f>MAX(0,JR55*(1+$E$29)-$F$29)</f>
        <v/>
      </c>
      <c r="JT55">
        <f>JT54-MIN(JT54,JS55)</f>
        <v/>
      </c>
      <c r="JU55">
        <f>JS55-(JT54-JT55)</f>
        <v/>
      </c>
      <c r="JV55">
        <f>MAX(0,JU55*(1+$E$29)-$F$29)</f>
        <v/>
      </c>
      <c r="JW55">
        <f>JW54-MIN(JW54,JV55)</f>
        <v/>
      </c>
      <c r="JX55">
        <f>JV55-(JW54-JW55)</f>
        <v/>
      </c>
      <c r="JY55">
        <f>MAX(0,JX55*(1+$E$29)-$F$29)</f>
        <v/>
      </c>
      <c r="JZ55">
        <f>JZ54-MIN(JZ54,JY55)</f>
        <v/>
      </c>
      <c r="KA55">
        <f>JY55-(JZ54-JZ55)</f>
        <v/>
      </c>
      <c r="KB55">
        <f>MAX(0,KA55*(1+$E$29)-$F$29)</f>
        <v/>
      </c>
      <c r="KC55">
        <f>KC54-MIN(KC54,KB55)</f>
        <v/>
      </c>
      <c r="KD55">
        <f>KB55-(KC54-KC55)</f>
        <v/>
      </c>
      <c r="KE55">
        <f>MAX(0,KD55*(1+$E$29)-$F$29)</f>
        <v/>
      </c>
      <c r="KF55">
        <f>KF54-MIN(KF54,KE55)</f>
        <v/>
      </c>
      <c r="KG55">
        <f>KE55-(KF54-KF55)</f>
        <v/>
      </c>
      <c r="KH55">
        <f>MAX(0,KG55*(1+$E$29)-$F$29)</f>
        <v/>
      </c>
      <c r="KI55">
        <f>KI54-MIN(KI54,KH55)</f>
        <v/>
      </c>
      <c r="KJ55">
        <f>KH55-(KI54-KI55)</f>
        <v/>
      </c>
      <c r="KK55">
        <f>MAX(0,KJ55*(1+$E$29)-$F$29)</f>
        <v/>
      </c>
      <c r="KL55">
        <f>KL54-MIN(KL54,KK55)</f>
        <v/>
      </c>
      <c r="KM55">
        <f>KK55-(KL54-KL55)</f>
        <v/>
      </c>
      <c r="KN55">
        <f>MAX(0,KM55*(1+$E$29)-$F$29)</f>
        <v/>
      </c>
      <c r="KO55">
        <f>KO54-MIN(KO54,KN55)</f>
        <v/>
      </c>
      <c r="KP55">
        <f>KN55-(KO54-KO55)</f>
        <v/>
      </c>
      <c r="KQ55">
        <f>MAX(0,KP55*(1+$E$29)-$F$29)</f>
        <v/>
      </c>
      <c r="KR55">
        <f>KR54-MIN(KR54,KQ55)</f>
        <v/>
      </c>
      <c r="KS55">
        <f>KQ55-(KR54-KR55)</f>
        <v/>
      </c>
      <c r="KT55">
        <f>MAX(0,KS55*(1+$E$29)-$F$29)</f>
        <v/>
      </c>
      <c r="KU55">
        <f>KU54-MIN(KU54,KT55)</f>
        <v/>
      </c>
      <c r="KV55">
        <f>KT55-(KU54-KU55)</f>
        <v/>
      </c>
      <c r="KW55">
        <f>MAX(0,KV55*(1+$E$29)-$F$29)</f>
        <v/>
      </c>
      <c r="KX55">
        <f>KX54-MIN(KX54,KW55)</f>
        <v/>
      </c>
      <c r="KY55">
        <f>KW55-(KX54-KX55)</f>
        <v/>
      </c>
      <c r="KZ55">
        <f>MAX(0,KY55*(1+$E$29)-$F$29)</f>
        <v/>
      </c>
      <c r="LA55">
        <f>LA54-MIN(LA54,KZ55)</f>
        <v/>
      </c>
      <c r="LB55">
        <f>KZ55-(LA54-LA55)</f>
        <v/>
      </c>
      <c r="LC55">
        <f>MAX(0,LB55*(1+$E$29)-$F$29)</f>
        <v/>
      </c>
      <c r="LD55">
        <f>LD54-MIN(LD54,LC55)</f>
        <v/>
      </c>
      <c r="LE55">
        <f>LC55-(LD54-LD55)</f>
        <v/>
      </c>
      <c r="LF55">
        <f>MAX(0,LE55*(1+$E$29)-$F$29)</f>
        <v/>
      </c>
      <c r="LG55">
        <f>LG54-MIN(LG54,LF55)</f>
        <v/>
      </c>
      <c r="LH55">
        <f>LF55-(LG54-LG55)</f>
        <v/>
      </c>
      <c r="LI55">
        <f>MAX(0,LH55*(1+$E$29)-$F$29)</f>
        <v/>
      </c>
      <c r="LJ55">
        <f>LJ54-MIN(LJ54,LI55)</f>
        <v/>
      </c>
      <c r="LK55">
        <f>LI55-(LJ54-LJ55)</f>
        <v/>
      </c>
      <c r="LL55">
        <f>MAX(0,LK55*(1+$E$29)-$F$29)</f>
        <v/>
      </c>
      <c r="LM55">
        <f>LM54-MIN(LM54,LL55)</f>
        <v/>
      </c>
      <c r="LN55">
        <f>LL55-(LM54-LM55)</f>
        <v/>
      </c>
      <c r="LO55">
        <f>MAX(0,LN55*(1+$E$29)-$F$29)</f>
        <v/>
      </c>
      <c r="LP55">
        <f>LP54-MIN(LP54,LO55)</f>
        <v/>
      </c>
      <c r="LQ55">
        <f>LO55-(LP54-LP55)</f>
        <v/>
      </c>
      <c r="LR55">
        <f>MAX(0,LQ55*(1+$E$29)-$F$29)</f>
        <v/>
      </c>
      <c r="LS55">
        <f>LS54-MIN(LS54,LR55)</f>
        <v/>
      </c>
      <c r="LT55">
        <f>LR55-(LS54-LS55)</f>
        <v/>
      </c>
      <c r="LU55">
        <f>MAX(0,LT55*(1+$E$29)-$F$29)</f>
        <v/>
      </c>
      <c r="LV55">
        <f>LV54-MIN(LV54,LU55)</f>
        <v/>
      </c>
      <c r="LW55">
        <f>LU55-(LV54-LV55)</f>
        <v/>
      </c>
      <c r="LX55">
        <f>MAX(0,LW55*(1+$E$29)-$F$29)</f>
        <v/>
      </c>
      <c r="LY55">
        <f>LY54-MIN(LY54,LX55)</f>
        <v/>
      </c>
      <c r="LZ55">
        <f>LX55-(LY54-LY55)</f>
        <v/>
      </c>
      <c r="MA55">
        <f>MAX(0,LZ55*(1+$E$29)-$F$29)</f>
        <v/>
      </c>
      <c r="MB55">
        <f>MB54-MIN(MB54,MA55)</f>
        <v/>
      </c>
      <c r="MC55">
        <f>MA55-(MB54-MB55)</f>
        <v/>
      </c>
      <c r="MD55">
        <f>MAX(0,MC55*(1+$E$29)-$F$29)</f>
        <v/>
      </c>
      <c r="ME55">
        <f>ME54-MIN(ME54,MD55)</f>
        <v/>
      </c>
      <c r="MF55">
        <f>MD55-(ME54-ME55)</f>
        <v/>
      </c>
      <c r="MG55">
        <f>MAX(0,MF55*(1+$E$29)-$F$29)</f>
        <v/>
      </c>
      <c r="MH55">
        <f>MH54-MIN(MH54,MG55)</f>
        <v/>
      </c>
      <c r="MI55">
        <f>MG55-(MH54-MH55)</f>
        <v/>
      </c>
      <c r="MJ55">
        <f>MAX(0,MI55*(1+$E$29)-$F$29)</f>
        <v/>
      </c>
      <c r="MK55">
        <f>MK54-MIN(MK54,MJ55)</f>
        <v/>
      </c>
      <c r="ML55">
        <f>MJ55-(MK54-MK55)</f>
        <v/>
      </c>
      <c r="MM55">
        <f>MAX(0,ML55*(1+$E$29)-$F$29)</f>
        <v/>
      </c>
      <c r="MN55">
        <f>MN54-MIN(MN54,MM55)</f>
        <v/>
      </c>
      <c r="MO55">
        <f>MM55-(MN54-MN55)</f>
        <v/>
      </c>
      <c r="MP55">
        <f>MAX(0,MO55*(1+$E$29)-$F$29)</f>
        <v/>
      </c>
      <c r="MQ55">
        <f>MQ54-MIN(MQ54,MP55)</f>
        <v/>
      </c>
      <c r="MR55">
        <f>MP55-(MQ54-MQ55)</f>
        <v/>
      </c>
      <c r="MS55">
        <f>MAX(0,MR55*(1+$E$29)-$F$29)</f>
        <v/>
      </c>
      <c r="MT55">
        <f>MT54-MIN(MT54,MS55)</f>
        <v/>
      </c>
      <c r="MU55">
        <f>MS55-(MT54-MT55)</f>
        <v/>
      </c>
      <c r="MV55">
        <f>MAX(0,MU55*(1+$E$29)-$F$29)</f>
        <v/>
      </c>
      <c r="MW55">
        <f>MW54-MIN(MW54,MV55)</f>
        <v/>
      </c>
      <c r="MX55">
        <f>MV55-(MW54-MW55)</f>
        <v/>
      </c>
    </row>
    <row r="56">
      <c r="A56" t="inlineStr">
        <is>
          <t>slot 7</t>
        </is>
      </c>
      <c r="B56">
        <f>D30</f>
        <v/>
      </c>
      <c r="C56">
        <f>MAX(0,B56*(1+$E$30)-$F$30)</f>
        <v/>
      </c>
      <c r="D56">
        <f>D55-MIN(D55,C56)</f>
        <v/>
      </c>
      <c r="E56">
        <f>C56-(D55-D56)</f>
        <v/>
      </c>
      <c r="F56">
        <f>MAX(0,E56*(1+$E$30)-$F$30)</f>
        <v/>
      </c>
      <c r="G56">
        <f>G55-MIN(G55,F56)</f>
        <v/>
      </c>
      <c r="H56">
        <f>F56-(G55-G56)</f>
        <v/>
      </c>
      <c r="I56">
        <f>MAX(0,H56*(1+$E$30)-$F$30)</f>
        <v/>
      </c>
      <c r="J56">
        <f>J55-MIN(J55,I56)</f>
        <v/>
      </c>
      <c r="K56">
        <f>I56-(J55-J56)</f>
        <v/>
      </c>
      <c r="L56">
        <f>MAX(0,K56*(1+$E$30)-$F$30)</f>
        <v/>
      </c>
      <c r="M56">
        <f>M55-MIN(M55,L56)</f>
        <v/>
      </c>
      <c r="N56">
        <f>L56-(M55-M56)</f>
        <v/>
      </c>
      <c r="O56">
        <f>MAX(0,N56*(1+$E$30)-$F$30)</f>
        <v/>
      </c>
      <c r="P56">
        <f>P55-MIN(P55,O56)</f>
        <v/>
      </c>
      <c r="Q56">
        <f>O56-(P55-P56)</f>
        <v/>
      </c>
      <c r="R56">
        <f>MAX(0,Q56*(1+$E$30)-$F$30)</f>
        <v/>
      </c>
      <c r="S56">
        <f>S55-MIN(S55,R56)</f>
        <v/>
      </c>
      <c r="T56">
        <f>R56-(S55-S56)</f>
        <v/>
      </c>
      <c r="U56">
        <f>MAX(0,T56*(1+$E$30)-$F$30)</f>
        <v/>
      </c>
      <c r="V56">
        <f>V55-MIN(V55,U56)</f>
        <v/>
      </c>
      <c r="W56">
        <f>U56-(V55-V56)</f>
        <v/>
      </c>
      <c r="X56">
        <f>MAX(0,W56*(1+$E$30)-$F$30)</f>
        <v/>
      </c>
      <c r="Y56">
        <f>Y55-MIN(Y55,X56)</f>
        <v/>
      </c>
      <c r="Z56">
        <f>X56-(Y55-Y56)</f>
        <v/>
      </c>
      <c r="AA56">
        <f>MAX(0,Z56*(1+$E$30)-$F$30)</f>
        <v/>
      </c>
      <c r="AB56">
        <f>AB55-MIN(AB55,AA56)</f>
        <v/>
      </c>
      <c r="AC56">
        <f>AA56-(AB55-AB56)</f>
        <v/>
      </c>
      <c r="AD56">
        <f>MAX(0,AC56*(1+$E$30)-$F$30)</f>
        <v/>
      </c>
      <c r="AE56">
        <f>AE55-MIN(AE55,AD56)</f>
        <v/>
      </c>
      <c r="AF56">
        <f>AD56-(AE55-AE56)</f>
        <v/>
      </c>
      <c r="AG56">
        <f>MAX(0,AF56*(1+$E$30)-$F$30)</f>
        <v/>
      </c>
      <c r="AH56">
        <f>AH55-MIN(AH55,AG56)</f>
        <v/>
      </c>
      <c r="AI56">
        <f>AG56-(AH55-AH56)</f>
        <v/>
      </c>
      <c r="AJ56">
        <f>MAX(0,AI56*(1+$E$30)-$F$30)</f>
        <v/>
      </c>
      <c r="AK56">
        <f>AK55-MIN(AK55,AJ56)</f>
        <v/>
      </c>
      <c r="AL56">
        <f>AJ56-(AK55-AK56)</f>
        <v/>
      </c>
      <c r="AM56">
        <f>MAX(0,AL56*(1+$E$30)-$F$30)</f>
        <v/>
      </c>
      <c r="AN56">
        <f>AN55-MIN(AN55,AM56)</f>
        <v/>
      </c>
      <c r="AO56">
        <f>AM56-(AN55-AN56)</f>
        <v/>
      </c>
      <c r="AP56">
        <f>MAX(0,AO56*(1+$E$30)-$F$30)</f>
        <v/>
      </c>
      <c r="AQ56">
        <f>AQ55-MIN(AQ55,AP56)</f>
        <v/>
      </c>
      <c r="AR56">
        <f>AP56-(AQ55-AQ56)</f>
        <v/>
      </c>
      <c r="AS56">
        <f>MAX(0,AR56*(1+$E$30)-$F$30)</f>
        <v/>
      </c>
      <c r="AT56">
        <f>AT55-MIN(AT55,AS56)</f>
        <v/>
      </c>
      <c r="AU56">
        <f>AS56-(AT55-AT56)</f>
        <v/>
      </c>
      <c r="AV56">
        <f>MAX(0,AU56*(1+$E$30)-$F$30)</f>
        <v/>
      </c>
      <c r="AW56">
        <f>AW55-MIN(AW55,AV56)</f>
        <v/>
      </c>
      <c r="AX56">
        <f>AV56-(AW55-AW56)</f>
        <v/>
      </c>
      <c r="AY56">
        <f>MAX(0,AX56*(1+$E$30)-$F$30)</f>
        <v/>
      </c>
      <c r="AZ56">
        <f>AZ55-MIN(AZ55,AY56)</f>
        <v/>
      </c>
      <c r="BA56">
        <f>AY56-(AZ55-AZ56)</f>
        <v/>
      </c>
      <c r="BB56">
        <f>MAX(0,BA56*(1+$E$30)-$F$30)</f>
        <v/>
      </c>
      <c r="BC56">
        <f>BC55-MIN(BC55,BB56)</f>
        <v/>
      </c>
      <c r="BD56">
        <f>BB56-(BC55-BC56)</f>
        <v/>
      </c>
      <c r="BE56">
        <f>MAX(0,BD56*(1+$E$30)-$F$30)</f>
        <v/>
      </c>
      <c r="BF56">
        <f>BF55-MIN(BF55,BE56)</f>
        <v/>
      </c>
      <c r="BG56">
        <f>BE56-(BF55-BF56)</f>
        <v/>
      </c>
      <c r="BH56">
        <f>MAX(0,BG56*(1+$E$30)-$F$30)</f>
        <v/>
      </c>
      <c r="BI56">
        <f>BI55-MIN(BI55,BH56)</f>
        <v/>
      </c>
      <c r="BJ56">
        <f>BH56-(BI55-BI56)</f>
        <v/>
      </c>
      <c r="BK56">
        <f>MAX(0,BJ56*(1+$E$30)-$F$30)</f>
        <v/>
      </c>
      <c r="BL56">
        <f>BL55-MIN(BL55,BK56)</f>
        <v/>
      </c>
      <c r="BM56">
        <f>BK56-(BL55-BL56)</f>
        <v/>
      </c>
      <c r="BN56">
        <f>MAX(0,BM56*(1+$E$30)-$F$30)</f>
        <v/>
      </c>
      <c r="BO56">
        <f>BO55-MIN(BO55,BN56)</f>
        <v/>
      </c>
      <c r="BP56">
        <f>BN56-(BO55-BO56)</f>
        <v/>
      </c>
      <c r="BQ56">
        <f>MAX(0,BP56*(1+$E$30)-$F$30)</f>
        <v/>
      </c>
      <c r="BR56">
        <f>BR55-MIN(BR55,BQ56)</f>
        <v/>
      </c>
      <c r="BS56">
        <f>BQ56-(BR55-BR56)</f>
        <v/>
      </c>
      <c r="BT56">
        <f>MAX(0,BS56*(1+$E$30)-$F$30)</f>
        <v/>
      </c>
      <c r="BU56">
        <f>BU55-MIN(BU55,BT56)</f>
        <v/>
      </c>
      <c r="BV56">
        <f>BT56-(BU55-BU56)</f>
        <v/>
      </c>
      <c r="BW56">
        <f>MAX(0,BV56*(1+$E$30)-$F$30)</f>
        <v/>
      </c>
      <c r="BX56">
        <f>BX55-MIN(BX55,BW56)</f>
        <v/>
      </c>
      <c r="BY56">
        <f>BW56-(BX55-BX56)</f>
        <v/>
      </c>
      <c r="BZ56">
        <f>MAX(0,BY56*(1+$E$30)-$F$30)</f>
        <v/>
      </c>
      <c r="CA56">
        <f>CA55-MIN(CA55,BZ56)</f>
        <v/>
      </c>
      <c r="CB56">
        <f>BZ56-(CA55-CA56)</f>
        <v/>
      </c>
      <c r="CC56">
        <f>MAX(0,CB56*(1+$E$30)-$F$30)</f>
        <v/>
      </c>
      <c r="CD56">
        <f>CD55-MIN(CD55,CC56)</f>
        <v/>
      </c>
      <c r="CE56">
        <f>CC56-(CD55-CD56)</f>
        <v/>
      </c>
      <c r="CF56">
        <f>MAX(0,CE56*(1+$E$30)-$F$30)</f>
        <v/>
      </c>
      <c r="CG56">
        <f>CG55-MIN(CG55,CF56)</f>
        <v/>
      </c>
      <c r="CH56">
        <f>CF56-(CG55-CG56)</f>
        <v/>
      </c>
      <c r="CI56">
        <f>MAX(0,CH56*(1+$E$30)-$F$30)</f>
        <v/>
      </c>
      <c r="CJ56">
        <f>CJ55-MIN(CJ55,CI56)</f>
        <v/>
      </c>
      <c r="CK56">
        <f>CI56-(CJ55-CJ56)</f>
        <v/>
      </c>
      <c r="CL56">
        <f>MAX(0,CK56*(1+$E$30)-$F$30)</f>
        <v/>
      </c>
      <c r="CM56">
        <f>CM55-MIN(CM55,CL56)</f>
        <v/>
      </c>
      <c r="CN56">
        <f>CL56-(CM55-CM56)</f>
        <v/>
      </c>
      <c r="CO56">
        <f>MAX(0,CN56*(1+$E$30)-$F$30)</f>
        <v/>
      </c>
      <c r="CP56">
        <f>CP55-MIN(CP55,CO56)</f>
        <v/>
      </c>
      <c r="CQ56">
        <f>CO56-(CP55-CP56)</f>
        <v/>
      </c>
      <c r="CR56">
        <f>MAX(0,CQ56*(1+$E$30)-$F$30)</f>
        <v/>
      </c>
      <c r="CS56">
        <f>CS55-MIN(CS55,CR56)</f>
        <v/>
      </c>
      <c r="CT56">
        <f>CR56-(CS55-CS56)</f>
        <v/>
      </c>
      <c r="CU56">
        <f>MAX(0,CT56*(1+$E$30)-$F$30)</f>
        <v/>
      </c>
      <c r="CV56">
        <f>CV55-MIN(CV55,CU56)</f>
        <v/>
      </c>
      <c r="CW56">
        <f>CU56-(CV55-CV56)</f>
        <v/>
      </c>
      <c r="CX56">
        <f>MAX(0,CW56*(1+$E$30)-$F$30)</f>
        <v/>
      </c>
      <c r="CY56">
        <f>CY55-MIN(CY55,CX56)</f>
        <v/>
      </c>
      <c r="CZ56">
        <f>CX56-(CY55-CY56)</f>
        <v/>
      </c>
      <c r="DA56">
        <f>MAX(0,CZ56*(1+$E$30)-$F$30)</f>
        <v/>
      </c>
      <c r="DB56">
        <f>DB55-MIN(DB55,DA56)</f>
        <v/>
      </c>
      <c r="DC56">
        <f>DA56-(DB55-DB56)</f>
        <v/>
      </c>
      <c r="DD56">
        <f>MAX(0,DC56*(1+$E$30)-$F$30)</f>
        <v/>
      </c>
      <c r="DE56">
        <f>DE55-MIN(DE55,DD56)</f>
        <v/>
      </c>
      <c r="DF56">
        <f>DD56-(DE55-DE56)</f>
        <v/>
      </c>
      <c r="DG56">
        <f>MAX(0,DF56*(1+$E$30)-$F$30)</f>
        <v/>
      </c>
      <c r="DH56">
        <f>DH55-MIN(DH55,DG56)</f>
        <v/>
      </c>
      <c r="DI56">
        <f>DG56-(DH55-DH56)</f>
        <v/>
      </c>
      <c r="DJ56">
        <f>MAX(0,DI56*(1+$E$30)-$F$30)</f>
        <v/>
      </c>
      <c r="DK56">
        <f>DK55-MIN(DK55,DJ56)</f>
        <v/>
      </c>
      <c r="DL56">
        <f>DJ56-(DK55-DK56)</f>
        <v/>
      </c>
      <c r="DM56">
        <f>MAX(0,DL56*(1+$E$30)-$F$30)</f>
        <v/>
      </c>
      <c r="DN56">
        <f>DN55-MIN(DN55,DM56)</f>
        <v/>
      </c>
      <c r="DO56">
        <f>DM56-(DN55-DN56)</f>
        <v/>
      </c>
      <c r="DP56">
        <f>MAX(0,DO56*(1+$E$30)-$F$30)</f>
        <v/>
      </c>
      <c r="DQ56">
        <f>DQ55-MIN(DQ55,DP56)</f>
        <v/>
      </c>
      <c r="DR56">
        <f>DP56-(DQ55-DQ56)</f>
        <v/>
      </c>
      <c r="DS56">
        <f>MAX(0,DR56*(1+$E$30)-$F$30)</f>
        <v/>
      </c>
      <c r="DT56">
        <f>DT55-MIN(DT55,DS56)</f>
        <v/>
      </c>
      <c r="DU56">
        <f>DS56-(DT55-DT56)</f>
        <v/>
      </c>
      <c r="DV56">
        <f>MAX(0,DU56*(1+$E$30)-$F$30)</f>
        <v/>
      </c>
      <c r="DW56">
        <f>DW55-MIN(DW55,DV56)</f>
        <v/>
      </c>
      <c r="DX56">
        <f>DV56-(DW55-DW56)</f>
        <v/>
      </c>
      <c r="DY56">
        <f>MAX(0,DX56*(1+$E$30)-$F$30)</f>
        <v/>
      </c>
      <c r="DZ56">
        <f>DZ55-MIN(DZ55,DY56)</f>
        <v/>
      </c>
      <c r="EA56">
        <f>DY56-(DZ55-DZ56)</f>
        <v/>
      </c>
      <c r="EB56">
        <f>MAX(0,EA56*(1+$E$30)-$F$30)</f>
        <v/>
      </c>
      <c r="EC56">
        <f>EC55-MIN(EC55,EB56)</f>
        <v/>
      </c>
      <c r="ED56">
        <f>EB56-(EC55-EC56)</f>
        <v/>
      </c>
      <c r="EE56">
        <f>MAX(0,ED56*(1+$E$30)-$F$30)</f>
        <v/>
      </c>
      <c r="EF56">
        <f>EF55-MIN(EF55,EE56)</f>
        <v/>
      </c>
      <c r="EG56">
        <f>EE56-(EF55-EF56)</f>
        <v/>
      </c>
      <c r="EH56">
        <f>MAX(0,EG56*(1+$E$30)-$F$30)</f>
        <v/>
      </c>
      <c r="EI56">
        <f>EI55-MIN(EI55,EH56)</f>
        <v/>
      </c>
      <c r="EJ56">
        <f>EH56-(EI55-EI56)</f>
        <v/>
      </c>
      <c r="EK56">
        <f>MAX(0,EJ56*(1+$E$30)-$F$30)</f>
        <v/>
      </c>
      <c r="EL56">
        <f>EL55-MIN(EL55,EK56)</f>
        <v/>
      </c>
      <c r="EM56">
        <f>EK56-(EL55-EL56)</f>
        <v/>
      </c>
      <c r="EN56">
        <f>MAX(0,EM56*(1+$E$30)-$F$30)</f>
        <v/>
      </c>
      <c r="EO56">
        <f>EO55-MIN(EO55,EN56)</f>
        <v/>
      </c>
      <c r="EP56">
        <f>EN56-(EO55-EO56)</f>
        <v/>
      </c>
      <c r="EQ56">
        <f>MAX(0,EP56*(1+$E$30)-$F$30)</f>
        <v/>
      </c>
      <c r="ER56">
        <f>ER55-MIN(ER55,EQ56)</f>
        <v/>
      </c>
      <c r="ES56">
        <f>EQ56-(ER55-ER56)</f>
        <v/>
      </c>
      <c r="ET56">
        <f>MAX(0,ES56*(1+$E$30)-$F$30)</f>
        <v/>
      </c>
      <c r="EU56">
        <f>EU55-MIN(EU55,ET56)</f>
        <v/>
      </c>
      <c r="EV56">
        <f>ET56-(EU55-EU56)</f>
        <v/>
      </c>
      <c r="EW56">
        <f>MAX(0,EV56*(1+$E$30)-$F$30)</f>
        <v/>
      </c>
      <c r="EX56">
        <f>EX55-MIN(EX55,EW56)</f>
        <v/>
      </c>
      <c r="EY56">
        <f>EW56-(EX55-EX56)</f>
        <v/>
      </c>
      <c r="EZ56">
        <f>MAX(0,EY56*(1+$E$30)-$F$30)</f>
        <v/>
      </c>
      <c r="FA56">
        <f>FA55-MIN(FA55,EZ56)</f>
        <v/>
      </c>
      <c r="FB56">
        <f>EZ56-(FA55-FA56)</f>
        <v/>
      </c>
      <c r="FC56">
        <f>MAX(0,FB56*(1+$E$30)-$F$30)</f>
        <v/>
      </c>
      <c r="FD56">
        <f>FD55-MIN(FD55,FC56)</f>
        <v/>
      </c>
      <c r="FE56">
        <f>FC56-(FD55-FD56)</f>
        <v/>
      </c>
      <c r="FF56">
        <f>MAX(0,FE56*(1+$E$30)-$F$30)</f>
        <v/>
      </c>
      <c r="FG56">
        <f>FG55-MIN(FG55,FF56)</f>
        <v/>
      </c>
      <c r="FH56">
        <f>FF56-(FG55-FG56)</f>
        <v/>
      </c>
      <c r="FI56">
        <f>MAX(0,FH56*(1+$E$30)-$F$30)</f>
        <v/>
      </c>
      <c r="FJ56">
        <f>FJ55-MIN(FJ55,FI56)</f>
        <v/>
      </c>
      <c r="FK56">
        <f>FI56-(FJ55-FJ56)</f>
        <v/>
      </c>
      <c r="FL56">
        <f>MAX(0,FK56*(1+$E$30)-$F$30)</f>
        <v/>
      </c>
      <c r="FM56">
        <f>FM55-MIN(FM55,FL56)</f>
        <v/>
      </c>
      <c r="FN56">
        <f>FL56-(FM55-FM56)</f>
        <v/>
      </c>
      <c r="FO56">
        <f>MAX(0,FN56*(1+$E$30)-$F$30)</f>
        <v/>
      </c>
      <c r="FP56">
        <f>FP55-MIN(FP55,FO56)</f>
        <v/>
      </c>
      <c r="FQ56">
        <f>FO56-(FP55-FP56)</f>
        <v/>
      </c>
      <c r="FR56">
        <f>MAX(0,FQ56*(1+$E$30)-$F$30)</f>
        <v/>
      </c>
      <c r="FS56">
        <f>FS55-MIN(FS55,FR56)</f>
        <v/>
      </c>
      <c r="FT56">
        <f>FR56-(FS55-FS56)</f>
        <v/>
      </c>
      <c r="FU56">
        <f>MAX(0,FT56*(1+$E$30)-$F$30)</f>
        <v/>
      </c>
      <c r="FV56">
        <f>FV55-MIN(FV55,FU56)</f>
        <v/>
      </c>
      <c r="FW56">
        <f>FU56-(FV55-FV56)</f>
        <v/>
      </c>
      <c r="FX56">
        <f>MAX(0,FW56*(1+$E$30)-$F$30)</f>
        <v/>
      </c>
      <c r="FY56">
        <f>FY55-MIN(FY55,FX56)</f>
        <v/>
      </c>
      <c r="FZ56">
        <f>FX56-(FY55-FY56)</f>
        <v/>
      </c>
      <c r="GA56">
        <f>MAX(0,FZ56*(1+$E$30)-$F$30)</f>
        <v/>
      </c>
      <c r="GB56">
        <f>GB55-MIN(GB55,GA56)</f>
        <v/>
      </c>
      <c r="GC56">
        <f>GA56-(GB55-GB56)</f>
        <v/>
      </c>
      <c r="GD56">
        <f>MAX(0,GC56*(1+$E$30)-$F$30)</f>
        <v/>
      </c>
      <c r="GE56">
        <f>GE55-MIN(GE55,GD56)</f>
        <v/>
      </c>
      <c r="GF56">
        <f>GD56-(GE55-GE56)</f>
        <v/>
      </c>
      <c r="GG56">
        <f>MAX(0,GF56*(1+$E$30)-$F$30)</f>
        <v/>
      </c>
      <c r="GH56">
        <f>GH55-MIN(GH55,GG56)</f>
        <v/>
      </c>
      <c r="GI56">
        <f>GG56-(GH55-GH56)</f>
        <v/>
      </c>
      <c r="GJ56">
        <f>MAX(0,GI56*(1+$E$30)-$F$30)</f>
        <v/>
      </c>
      <c r="GK56">
        <f>GK55-MIN(GK55,GJ56)</f>
        <v/>
      </c>
      <c r="GL56">
        <f>GJ56-(GK55-GK56)</f>
        <v/>
      </c>
      <c r="GM56">
        <f>MAX(0,GL56*(1+$E$30)-$F$30)</f>
        <v/>
      </c>
      <c r="GN56">
        <f>GN55-MIN(GN55,GM56)</f>
        <v/>
      </c>
      <c r="GO56">
        <f>GM56-(GN55-GN56)</f>
        <v/>
      </c>
      <c r="GP56">
        <f>MAX(0,GO56*(1+$E$30)-$F$30)</f>
        <v/>
      </c>
      <c r="GQ56">
        <f>GQ55-MIN(GQ55,GP56)</f>
        <v/>
      </c>
      <c r="GR56">
        <f>GP56-(GQ55-GQ56)</f>
        <v/>
      </c>
      <c r="GS56">
        <f>MAX(0,GR56*(1+$E$30)-$F$30)</f>
        <v/>
      </c>
      <c r="GT56">
        <f>GT55-MIN(GT55,GS56)</f>
        <v/>
      </c>
      <c r="GU56">
        <f>GS56-(GT55-GT56)</f>
        <v/>
      </c>
      <c r="GV56">
        <f>MAX(0,GU56*(1+$E$30)-$F$30)</f>
        <v/>
      </c>
      <c r="GW56">
        <f>GW55-MIN(GW55,GV56)</f>
        <v/>
      </c>
      <c r="GX56">
        <f>GV56-(GW55-GW56)</f>
        <v/>
      </c>
      <c r="GY56">
        <f>MAX(0,GX56*(1+$E$30)-$F$30)</f>
        <v/>
      </c>
      <c r="GZ56">
        <f>GZ55-MIN(GZ55,GY56)</f>
        <v/>
      </c>
      <c r="HA56">
        <f>GY56-(GZ55-GZ56)</f>
        <v/>
      </c>
      <c r="HB56">
        <f>MAX(0,HA56*(1+$E$30)-$F$30)</f>
        <v/>
      </c>
      <c r="HC56">
        <f>HC55-MIN(HC55,HB56)</f>
        <v/>
      </c>
      <c r="HD56">
        <f>HB56-(HC55-HC56)</f>
        <v/>
      </c>
      <c r="HE56">
        <f>MAX(0,HD56*(1+$E$30)-$F$30)</f>
        <v/>
      </c>
      <c r="HF56">
        <f>HF55-MIN(HF55,HE56)</f>
        <v/>
      </c>
      <c r="HG56">
        <f>HE56-(HF55-HF56)</f>
        <v/>
      </c>
      <c r="HH56">
        <f>MAX(0,HG56*(1+$E$30)-$F$30)</f>
        <v/>
      </c>
      <c r="HI56">
        <f>HI55-MIN(HI55,HH56)</f>
        <v/>
      </c>
      <c r="HJ56">
        <f>HH56-(HI55-HI56)</f>
        <v/>
      </c>
      <c r="HK56">
        <f>MAX(0,HJ56*(1+$E$30)-$F$30)</f>
        <v/>
      </c>
      <c r="HL56">
        <f>HL55-MIN(HL55,HK56)</f>
        <v/>
      </c>
      <c r="HM56">
        <f>HK56-(HL55-HL56)</f>
        <v/>
      </c>
      <c r="HN56">
        <f>MAX(0,HM56*(1+$E$30)-$F$30)</f>
        <v/>
      </c>
      <c r="HO56">
        <f>HO55-MIN(HO55,HN56)</f>
        <v/>
      </c>
      <c r="HP56">
        <f>HN56-(HO55-HO56)</f>
        <v/>
      </c>
      <c r="HQ56">
        <f>MAX(0,HP56*(1+$E$30)-$F$30)</f>
        <v/>
      </c>
      <c r="HR56">
        <f>HR55-MIN(HR55,HQ56)</f>
        <v/>
      </c>
      <c r="HS56">
        <f>HQ56-(HR55-HR56)</f>
        <v/>
      </c>
      <c r="HT56">
        <f>MAX(0,HS56*(1+$E$30)-$F$30)</f>
        <v/>
      </c>
      <c r="HU56">
        <f>HU55-MIN(HU55,HT56)</f>
        <v/>
      </c>
      <c r="HV56">
        <f>HT56-(HU55-HU56)</f>
        <v/>
      </c>
      <c r="HW56">
        <f>MAX(0,HV56*(1+$E$30)-$F$30)</f>
        <v/>
      </c>
      <c r="HX56">
        <f>HX55-MIN(HX55,HW56)</f>
        <v/>
      </c>
      <c r="HY56">
        <f>HW56-(HX55-HX56)</f>
        <v/>
      </c>
      <c r="HZ56">
        <f>MAX(0,HY56*(1+$E$30)-$F$30)</f>
        <v/>
      </c>
      <c r="IA56">
        <f>IA55-MIN(IA55,HZ56)</f>
        <v/>
      </c>
      <c r="IB56">
        <f>HZ56-(IA55-IA56)</f>
        <v/>
      </c>
      <c r="IC56">
        <f>MAX(0,IB56*(1+$E$30)-$F$30)</f>
        <v/>
      </c>
      <c r="ID56">
        <f>ID55-MIN(ID55,IC56)</f>
        <v/>
      </c>
      <c r="IE56">
        <f>IC56-(ID55-ID56)</f>
        <v/>
      </c>
      <c r="IF56">
        <f>MAX(0,IE56*(1+$E$30)-$F$30)</f>
        <v/>
      </c>
      <c r="IG56">
        <f>IG55-MIN(IG55,IF56)</f>
        <v/>
      </c>
      <c r="IH56">
        <f>IF56-(IG55-IG56)</f>
        <v/>
      </c>
      <c r="II56">
        <f>MAX(0,IH56*(1+$E$30)-$F$30)</f>
        <v/>
      </c>
      <c r="IJ56">
        <f>IJ55-MIN(IJ55,II56)</f>
        <v/>
      </c>
      <c r="IK56">
        <f>II56-(IJ55-IJ56)</f>
        <v/>
      </c>
      <c r="IL56">
        <f>MAX(0,IK56*(1+$E$30)-$F$30)</f>
        <v/>
      </c>
      <c r="IM56">
        <f>IM55-MIN(IM55,IL56)</f>
        <v/>
      </c>
      <c r="IN56">
        <f>IL56-(IM55-IM56)</f>
        <v/>
      </c>
      <c r="IO56">
        <f>MAX(0,IN56*(1+$E$30)-$F$30)</f>
        <v/>
      </c>
      <c r="IP56">
        <f>IP55-MIN(IP55,IO56)</f>
        <v/>
      </c>
      <c r="IQ56">
        <f>IO56-(IP55-IP56)</f>
        <v/>
      </c>
      <c r="IR56">
        <f>MAX(0,IQ56*(1+$E$30)-$F$30)</f>
        <v/>
      </c>
      <c r="IS56">
        <f>IS55-MIN(IS55,IR56)</f>
        <v/>
      </c>
      <c r="IT56">
        <f>IR56-(IS55-IS56)</f>
        <v/>
      </c>
      <c r="IU56">
        <f>MAX(0,IT56*(1+$E$30)-$F$30)</f>
        <v/>
      </c>
      <c r="IV56">
        <f>IV55-MIN(IV55,IU56)</f>
        <v/>
      </c>
      <c r="IW56">
        <f>IU56-(IV55-IV56)</f>
        <v/>
      </c>
      <c r="IX56">
        <f>MAX(0,IW56*(1+$E$30)-$F$30)</f>
        <v/>
      </c>
      <c r="IY56">
        <f>IY55-MIN(IY55,IX56)</f>
        <v/>
      </c>
      <c r="IZ56">
        <f>IX56-(IY55-IY56)</f>
        <v/>
      </c>
      <c r="JA56">
        <f>MAX(0,IZ56*(1+$E$30)-$F$30)</f>
        <v/>
      </c>
      <c r="JB56">
        <f>JB55-MIN(JB55,JA56)</f>
        <v/>
      </c>
      <c r="JC56">
        <f>JA56-(JB55-JB56)</f>
        <v/>
      </c>
      <c r="JD56">
        <f>MAX(0,JC56*(1+$E$30)-$F$30)</f>
        <v/>
      </c>
      <c r="JE56">
        <f>JE55-MIN(JE55,JD56)</f>
        <v/>
      </c>
      <c r="JF56">
        <f>JD56-(JE55-JE56)</f>
        <v/>
      </c>
      <c r="JG56">
        <f>MAX(0,JF56*(1+$E$30)-$F$30)</f>
        <v/>
      </c>
      <c r="JH56">
        <f>JH55-MIN(JH55,JG56)</f>
        <v/>
      </c>
      <c r="JI56">
        <f>JG56-(JH55-JH56)</f>
        <v/>
      </c>
      <c r="JJ56">
        <f>MAX(0,JI56*(1+$E$30)-$F$30)</f>
        <v/>
      </c>
      <c r="JK56">
        <f>JK55-MIN(JK55,JJ56)</f>
        <v/>
      </c>
      <c r="JL56">
        <f>JJ56-(JK55-JK56)</f>
        <v/>
      </c>
      <c r="JM56">
        <f>MAX(0,JL56*(1+$E$30)-$F$30)</f>
        <v/>
      </c>
      <c r="JN56">
        <f>JN55-MIN(JN55,JM56)</f>
        <v/>
      </c>
      <c r="JO56">
        <f>JM56-(JN55-JN56)</f>
        <v/>
      </c>
      <c r="JP56">
        <f>MAX(0,JO56*(1+$E$30)-$F$30)</f>
        <v/>
      </c>
      <c r="JQ56">
        <f>JQ55-MIN(JQ55,JP56)</f>
        <v/>
      </c>
      <c r="JR56">
        <f>JP56-(JQ55-JQ56)</f>
        <v/>
      </c>
      <c r="JS56">
        <f>MAX(0,JR56*(1+$E$30)-$F$30)</f>
        <v/>
      </c>
      <c r="JT56">
        <f>JT55-MIN(JT55,JS56)</f>
        <v/>
      </c>
      <c r="JU56">
        <f>JS56-(JT55-JT56)</f>
        <v/>
      </c>
      <c r="JV56">
        <f>MAX(0,JU56*(1+$E$30)-$F$30)</f>
        <v/>
      </c>
      <c r="JW56">
        <f>JW55-MIN(JW55,JV56)</f>
        <v/>
      </c>
      <c r="JX56">
        <f>JV56-(JW55-JW56)</f>
        <v/>
      </c>
      <c r="JY56">
        <f>MAX(0,JX56*(1+$E$30)-$F$30)</f>
        <v/>
      </c>
      <c r="JZ56">
        <f>JZ55-MIN(JZ55,JY56)</f>
        <v/>
      </c>
      <c r="KA56">
        <f>JY56-(JZ55-JZ56)</f>
        <v/>
      </c>
      <c r="KB56">
        <f>MAX(0,KA56*(1+$E$30)-$F$30)</f>
        <v/>
      </c>
      <c r="KC56">
        <f>KC55-MIN(KC55,KB56)</f>
        <v/>
      </c>
      <c r="KD56">
        <f>KB56-(KC55-KC56)</f>
        <v/>
      </c>
      <c r="KE56">
        <f>MAX(0,KD56*(1+$E$30)-$F$30)</f>
        <v/>
      </c>
      <c r="KF56">
        <f>KF55-MIN(KF55,KE56)</f>
        <v/>
      </c>
      <c r="KG56">
        <f>KE56-(KF55-KF56)</f>
        <v/>
      </c>
      <c r="KH56">
        <f>MAX(0,KG56*(1+$E$30)-$F$30)</f>
        <v/>
      </c>
      <c r="KI56">
        <f>KI55-MIN(KI55,KH56)</f>
        <v/>
      </c>
      <c r="KJ56">
        <f>KH56-(KI55-KI56)</f>
        <v/>
      </c>
      <c r="KK56">
        <f>MAX(0,KJ56*(1+$E$30)-$F$30)</f>
        <v/>
      </c>
      <c r="KL56">
        <f>KL55-MIN(KL55,KK56)</f>
        <v/>
      </c>
      <c r="KM56">
        <f>KK56-(KL55-KL56)</f>
        <v/>
      </c>
      <c r="KN56">
        <f>MAX(0,KM56*(1+$E$30)-$F$30)</f>
        <v/>
      </c>
      <c r="KO56">
        <f>KO55-MIN(KO55,KN56)</f>
        <v/>
      </c>
      <c r="KP56">
        <f>KN56-(KO55-KO56)</f>
        <v/>
      </c>
      <c r="KQ56">
        <f>MAX(0,KP56*(1+$E$30)-$F$30)</f>
        <v/>
      </c>
      <c r="KR56">
        <f>KR55-MIN(KR55,KQ56)</f>
        <v/>
      </c>
      <c r="KS56">
        <f>KQ56-(KR55-KR56)</f>
        <v/>
      </c>
      <c r="KT56">
        <f>MAX(0,KS56*(1+$E$30)-$F$30)</f>
        <v/>
      </c>
      <c r="KU56">
        <f>KU55-MIN(KU55,KT56)</f>
        <v/>
      </c>
      <c r="KV56">
        <f>KT56-(KU55-KU56)</f>
        <v/>
      </c>
      <c r="KW56">
        <f>MAX(0,KV56*(1+$E$30)-$F$30)</f>
        <v/>
      </c>
      <c r="KX56">
        <f>KX55-MIN(KX55,KW56)</f>
        <v/>
      </c>
      <c r="KY56">
        <f>KW56-(KX55-KX56)</f>
        <v/>
      </c>
      <c r="KZ56">
        <f>MAX(0,KY56*(1+$E$30)-$F$30)</f>
        <v/>
      </c>
      <c r="LA56">
        <f>LA55-MIN(LA55,KZ56)</f>
        <v/>
      </c>
      <c r="LB56">
        <f>KZ56-(LA55-LA56)</f>
        <v/>
      </c>
      <c r="LC56">
        <f>MAX(0,LB56*(1+$E$30)-$F$30)</f>
        <v/>
      </c>
      <c r="LD56">
        <f>LD55-MIN(LD55,LC56)</f>
        <v/>
      </c>
      <c r="LE56">
        <f>LC56-(LD55-LD56)</f>
        <v/>
      </c>
      <c r="LF56">
        <f>MAX(0,LE56*(1+$E$30)-$F$30)</f>
        <v/>
      </c>
      <c r="LG56">
        <f>LG55-MIN(LG55,LF56)</f>
        <v/>
      </c>
      <c r="LH56">
        <f>LF56-(LG55-LG56)</f>
        <v/>
      </c>
      <c r="LI56">
        <f>MAX(0,LH56*(1+$E$30)-$F$30)</f>
        <v/>
      </c>
      <c r="LJ56">
        <f>LJ55-MIN(LJ55,LI56)</f>
        <v/>
      </c>
      <c r="LK56">
        <f>LI56-(LJ55-LJ56)</f>
        <v/>
      </c>
      <c r="LL56">
        <f>MAX(0,LK56*(1+$E$30)-$F$30)</f>
        <v/>
      </c>
      <c r="LM56">
        <f>LM55-MIN(LM55,LL56)</f>
        <v/>
      </c>
      <c r="LN56">
        <f>LL56-(LM55-LM56)</f>
        <v/>
      </c>
      <c r="LO56">
        <f>MAX(0,LN56*(1+$E$30)-$F$30)</f>
        <v/>
      </c>
      <c r="LP56">
        <f>LP55-MIN(LP55,LO56)</f>
        <v/>
      </c>
      <c r="LQ56">
        <f>LO56-(LP55-LP56)</f>
        <v/>
      </c>
      <c r="LR56">
        <f>MAX(0,LQ56*(1+$E$30)-$F$30)</f>
        <v/>
      </c>
      <c r="LS56">
        <f>LS55-MIN(LS55,LR56)</f>
        <v/>
      </c>
      <c r="LT56">
        <f>LR56-(LS55-LS56)</f>
        <v/>
      </c>
      <c r="LU56">
        <f>MAX(0,LT56*(1+$E$30)-$F$30)</f>
        <v/>
      </c>
      <c r="LV56">
        <f>LV55-MIN(LV55,LU56)</f>
        <v/>
      </c>
      <c r="LW56">
        <f>LU56-(LV55-LV56)</f>
        <v/>
      </c>
      <c r="LX56">
        <f>MAX(0,LW56*(1+$E$30)-$F$30)</f>
        <v/>
      </c>
      <c r="LY56">
        <f>LY55-MIN(LY55,LX56)</f>
        <v/>
      </c>
      <c r="LZ56">
        <f>LX56-(LY55-LY56)</f>
        <v/>
      </c>
      <c r="MA56">
        <f>MAX(0,LZ56*(1+$E$30)-$F$30)</f>
        <v/>
      </c>
      <c r="MB56">
        <f>MB55-MIN(MB55,MA56)</f>
        <v/>
      </c>
      <c r="MC56">
        <f>MA56-(MB55-MB56)</f>
        <v/>
      </c>
      <c r="MD56">
        <f>MAX(0,MC56*(1+$E$30)-$F$30)</f>
        <v/>
      </c>
      <c r="ME56">
        <f>ME55-MIN(ME55,MD56)</f>
        <v/>
      </c>
      <c r="MF56">
        <f>MD56-(ME55-ME56)</f>
        <v/>
      </c>
      <c r="MG56">
        <f>MAX(0,MF56*(1+$E$30)-$F$30)</f>
        <v/>
      </c>
      <c r="MH56">
        <f>MH55-MIN(MH55,MG56)</f>
        <v/>
      </c>
      <c r="MI56">
        <f>MG56-(MH55-MH56)</f>
        <v/>
      </c>
      <c r="MJ56">
        <f>MAX(0,MI56*(1+$E$30)-$F$30)</f>
        <v/>
      </c>
      <c r="MK56">
        <f>MK55-MIN(MK55,MJ56)</f>
        <v/>
      </c>
      <c r="ML56">
        <f>MJ56-(MK55-MK56)</f>
        <v/>
      </c>
      <c r="MM56">
        <f>MAX(0,ML56*(1+$E$30)-$F$30)</f>
        <v/>
      </c>
      <c r="MN56">
        <f>MN55-MIN(MN55,MM56)</f>
        <v/>
      </c>
      <c r="MO56">
        <f>MM56-(MN55-MN56)</f>
        <v/>
      </c>
      <c r="MP56">
        <f>MAX(0,MO56*(1+$E$30)-$F$30)</f>
        <v/>
      </c>
      <c r="MQ56">
        <f>MQ55-MIN(MQ55,MP56)</f>
        <v/>
      </c>
      <c r="MR56">
        <f>MP56-(MQ55-MQ56)</f>
        <v/>
      </c>
      <c r="MS56">
        <f>MAX(0,MR56*(1+$E$30)-$F$30)</f>
        <v/>
      </c>
      <c r="MT56">
        <f>MT55-MIN(MT55,MS56)</f>
        <v/>
      </c>
      <c r="MU56">
        <f>MS56-(MT55-MT56)</f>
        <v/>
      </c>
      <c r="MV56">
        <f>MAX(0,MU56*(1+$E$30)-$F$30)</f>
        <v/>
      </c>
      <c r="MW56">
        <f>MW55-MIN(MW55,MV56)</f>
        <v/>
      </c>
      <c r="MX56">
        <f>MV56-(MW55-MW56)</f>
        <v/>
      </c>
    </row>
    <row r="57">
      <c r="A57" t="inlineStr">
        <is>
          <t>slot 8</t>
        </is>
      </c>
      <c r="B57">
        <f>D31</f>
        <v/>
      </c>
      <c r="C57">
        <f>MAX(0,B57*(1+$E$31)-$F$31)</f>
        <v/>
      </c>
      <c r="D57">
        <f>D56-MIN(D56,C57)</f>
        <v/>
      </c>
      <c r="E57">
        <f>C57-(D56-D57)</f>
        <v/>
      </c>
      <c r="F57">
        <f>MAX(0,E57*(1+$E$31)-$F$31)</f>
        <v/>
      </c>
      <c r="G57">
        <f>G56-MIN(G56,F57)</f>
        <v/>
      </c>
      <c r="H57">
        <f>F57-(G56-G57)</f>
        <v/>
      </c>
      <c r="I57">
        <f>MAX(0,H57*(1+$E$31)-$F$31)</f>
        <v/>
      </c>
      <c r="J57">
        <f>J56-MIN(J56,I57)</f>
        <v/>
      </c>
      <c r="K57">
        <f>I57-(J56-J57)</f>
        <v/>
      </c>
      <c r="L57">
        <f>MAX(0,K57*(1+$E$31)-$F$31)</f>
        <v/>
      </c>
      <c r="M57">
        <f>M56-MIN(M56,L57)</f>
        <v/>
      </c>
      <c r="N57">
        <f>L57-(M56-M57)</f>
        <v/>
      </c>
      <c r="O57">
        <f>MAX(0,N57*(1+$E$31)-$F$31)</f>
        <v/>
      </c>
      <c r="P57">
        <f>P56-MIN(P56,O57)</f>
        <v/>
      </c>
      <c r="Q57">
        <f>O57-(P56-P57)</f>
        <v/>
      </c>
      <c r="R57">
        <f>MAX(0,Q57*(1+$E$31)-$F$31)</f>
        <v/>
      </c>
      <c r="S57">
        <f>S56-MIN(S56,R57)</f>
        <v/>
      </c>
      <c r="T57">
        <f>R57-(S56-S57)</f>
        <v/>
      </c>
      <c r="U57">
        <f>MAX(0,T57*(1+$E$31)-$F$31)</f>
        <v/>
      </c>
      <c r="V57">
        <f>V56-MIN(V56,U57)</f>
        <v/>
      </c>
      <c r="W57">
        <f>U57-(V56-V57)</f>
        <v/>
      </c>
      <c r="X57">
        <f>MAX(0,W57*(1+$E$31)-$F$31)</f>
        <v/>
      </c>
      <c r="Y57">
        <f>Y56-MIN(Y56,X57)</f>
        <v/>
      </c>
      <c r="Z57">
        <f>X57-(Y56-Y57)</f>
        <v/>
      </c>
      <c r="AA57">
        <f>MAX(0,Z57*(1+$E$31)-$F$31)</f>
        <v/>
      </c>
      <c r="AB57">
        <f>AB56-MIN(AB56,AA57)</f>
        <v/>
      </c>
      <c r="AC57">
        <f>AA57-(AB56-AB57)</f>
        <v/>
      </c>
      <c r="AD57">
        <f>MAX(0,AC57*(1+$E$31)-$F$31)</f>
        <v/>
      </c>
      <c r="AE57">
        <f>AE56-MIN(AE56,AD57)</f>
        <v/>
      </c>
      <c r="AF57">
        <f>AD57-(AE56-AE57)</f>
        <v/>
      </c>
      <c r="AG57">
        <f>MAX(0,AF57*(1+$E$31)-$F$31)</f>
        <v/>
      </c>
      <c r="AH57">
        <f>AH56-MIN(AH56,AG57)</f>
        <v/>
      </c>
      <c r="AI57">
        <f>AG57-(AH56-AH57)</f>
        <v/>
      </c>
      <c r="AJ57">
        <f>MAX(0,AI57*(1+$E$31)-$F$31)</f>
        <v/>
      </c>
      <c r="AK57">
        <f>AK56-MIN(AK56,AJ57)</f>
        <v/>
      </c>
      <c r="AL57">
        <f>AJ57-(AK56-AK57)</f>
        <v/>
      </c>
      <c r="AM57">
        <f>MAX(0,AL57*(1+$E$31)-$F$31)</f>
        <v/>
      </c>
      <c r="AN57">
        <f>AN56-MIN(AN56,AM57)</f>
        <v/>
      </c>
      <c r="AO57">
        <f>AM57-(AN56-AN57)</f>
        <v/>
      </c>
      <c r="AP57">
        <f>MAX(0,AO57*(1+$E$31)-$F$31)</f>
        <v/>
      </c>
      <c r="AQ57">
        <f>AQ56-MIN(AQ56,AP57)</f>
        <v/>
      </c>
      <c r="AR57">
        <f>AP57-(AQ56-AQ57)</f>
        <v/>
      </c>
      <c r="AS57">
        <f>MAX(0,AR57*(1+$E$31)-$F$31)</f>
        <v/>
      </c>
      <c r="AT57">
        <f>AT56-MIN(AT56,AS57)</f>
        <v/>
      </c>
      <c r="AU57">
        <f>AS57-(AT56-AT57)</f>
        <v/>
      </c>
      <c r="AV57">
        <f>MAX(0,AU57*(1+$E$31)-$F$31)</f>
        <v/>
      </c>
      <c r="AW57">
        <f>AW56-MIN(AW56,AV57)</f>
        <v/>
      </c>
      <c r="AX57">
        <f>AV57-(AW56-AW57)</f>
        <v/>
      </c>
      <c r="AY57">
        <f>MAX(0,AX57*(1+$E$31)-$F$31)</f>
        <v/>
      </c>
      <c r="AZ57">
        <f>AZ56-MIN(AZ56,AY57)</f>
        <v/>
      </c>
      <c r="BA57">
        <f>AY57-(AZ56-AZ57)</f>
        <v/>
      </c>
      <c r="BB57">
        <f>MAX(0,BA57*(1+$E$31)-$F$31)</f>
        <v/>
      </c>
      <c r="BC57">
        <f>BC56-MIN(BC56,BB57)</f>
        <v/>
      </c>
      <c r="BD57">
        <f>BB57-(BC56-BC57)</f>
        <v/>
      </c>
      <c r="BE57">
        <f>MAX(0,BD57*(1+$E$31)-$F$31)</f>
        <v/>
      </c>
      <c r="BF57">
        <f>BF56-MIN(BF56,BE57)</f>
        <v/>
      </c>
      <c r="BG57">
        <f>BE57-(BF56-BF57)</f>
        <v/>
      </c>
      <c r="BH57">
        <f>MAX(0,BG57*(1+$E$31)-$F$31)</f>
        <v/>
      </c>
      <c r="BI57">
        <f>BI56-MIN(BI56,BH57)</f>
        <v/>
      </c>
      <c r="BJ57">
        <f>BH57-(BI56-BI57)</f>
        <v/>
      </c>
      <c r="BK57">
        <f>MAX(0,BJ57*(1+$E$31)-$F$31)</f>
        <v/>
      </c>
      <c r="BL57">
        <f>BL56-MIN(BL56,BK57)</f>
        <v/>
      </c>
      <c r="BM57">
        <f>BK57-(BL56-BL57)</f>
        <v/>
      </c>
      <c r="BN57">
        <f>MAX(0,BM57*(1+$E$31)-$F$31)</f>
        <v/>
      </c>
      <c r="BO57">
        <f>BO56-MIN(BO56,BN57)</f>
        <v/>
      </c>
      <c r="BP57">
        <f>BN57-(BO56-BO57)</f>
        <v/>
      </c>
      <c r="BQ57">
        <f>MAX(0,BP57*(1+$E$31)-$F$31)</f>
        <v/>
      </c>
      <c r="BR57">
        <f>BR56-MIN(BR56,BQ57)</f>
        <v/>
      </c>
      <c r="BS57">
        <f>BQ57-(BR56-BR57)</f>
        <v/>
      </c>
      <c r="BT57">
        <f>MAX(0,BS57*(1+$E$31)-$F$31)</f>
        <v/>
      </c>
      <c r="BU57">
        <f>BU56-MIN(BU56,BT57)</f>
        <v/>
      </c>
      <c r="BV57">
        <f>BT57-(BU56-BU57)</f>
        <v/>
      </c>
      <c r="BW57">
        <f>MAX(0,BV57*(1+$E$31)-$F$31)</f>
        <v/>
      </c>
      <c r="BX57">
        <f>BX56-MIN(BX56,BW57)</f>
        <v/>
      </c>
      <c r="BY57">
        <f>BW57-(BX56-BX57)</f>
        <v/>
      </c>
      <c r="BZ57">
        <f>MAX(0,BY57*(1+$E$31)-$F$31)</f>
        <v/>
      </c>
      <c r="CA57">
        <f>CA56-MIN(CA56,BZ57)</f>
        <v/>
      </c>
      <c r="CB57">
        <f>BZ57-(CA56-CA57)</f>
        <v/>
      </c>
      <c r="CC57">
        <f>MAX(0,CB57*(1+$E$31)-$F$31)</f>
        <v/>
      </c>
      <c r="CD57">
        <f>CD56-MIN(CD56,CC57)</f>
        <v/>
      </c>
      <c r="CE57">
        <f>CC57-(CD56-CD57)</f>
        <v/>
      </c>
      <c r="CF57">
        <f>MAX(0,CE57*(1+$E$31)-$F$31)</f>
        <v/>
      </c>
      <c r="CG57">
        <f>CG56-MIN(CG56,CF57)</f>
        <v/>
      </c>
      <c r="CH57">
        <f>CF57-(CG56-CG57)</f>
        <v/>
      </c>
      <c r="CI57">
        <f>MAX(0,CH57*(1+$E$31)-$F$31)</f>
        <v/>
      </c>
      <c r="CJ57">
        <f>CJ56-MIN(CJ56,CI57)</f>
        <v/>
      </c>
      <c r="CK57">
        <f>CI57-(CJ56-CJ57)</f>
        <v/>
      </c>
      <c r="CL57">
        <f>MAX(0,CK57*(1+$E$31)-$F$31)</f>
        <v/>
      </c>
      <c r="CM57">
        <f>CM56-MIN(CM56,CL57)</f>
        <v/>
      </c>
      <c r="CN57">
        <f>CL57-(CM56-CM57)</f>
        <v/>
      </c>
      <c r="CO57">
        <f>MAX(0,CN57*(1+$E$31)-$F$31)</f>
        <v/>
      </c>
      <c r="CP57">
        <f>CP56-MIN(CP56,CO57)</f>
        <v/>
      </c>
      <c r="CQ57">
        <f>CO57-(CP56-CP57)</f>
        <v/>
      </c>
      <c r="CR57">
        <f>MAX(0,CQ57*(1+$E$31)-$F$31)</f>
        <v/>
      </c>
      <c r="CS57">
        <f>CS56-MIN(CS56,CR57)</f>
        <v/>
      </c>
      <c r="CT57">
        <f>CR57-(CS56-CS57)</f>
        <v/>
      </c>
      <c r="CU57">
        <f>MAX(0,CT57*(1+$E$31)-$F$31)</f>
        <v/>
      </c>
      <c r="CV57">
        <f>CV56-MIN(CV56,CU57)</f>
        <v/>
      </c>
      <c r="CW57">
        <f>CU57-(CV56-CV57)</f>
        <v/>
      </c>
      <c r="CX57">
        <f>MAX(0,CW57*(1+$E$31)-$F$31)</f>
        <v/>
      </c>
      <c r="CY57">
        <f>CY56-MIN(CY56,CX57)</f>
        <v/>
      </c>
      <c r="CZ57">
        <f>CX57-(CY56-CY57)</f>
        <v/>
      </c>
      <c r="DA57">
        <f>MAX(0,CZ57*(1+$E$31)-$F$31)</f>
        <v/>
      </c>
      <c r="DB57">
        <f>DB56-MIN(DB56,DA57)</f>
        <v/>
      </c>
      <c r="DC57">
        <f>DA57-(DB56-DB57)</f>
        <v/>
      </c>
      <c r="DD57">
        <f>MAX(0,DC57*(1+$E$31)-$F$31)</f>
        <v/>
      </c>
      <c r="DE57">
        <f>DE56-MIN(DE56,DD57)</f>
        <v/>
      </c>
      <c r="DF57">
        <f>DD57-(DE56-DE57)</f>
        <v/>
      </c>
      <c r="DG57">
        <f>MAX(0,DF57*(1+$E$31)-$F$31)</f>
        <v/>
      </c>
      <c r="DH57">
        <f>DH56-MIN(DH56,DG57)</f>
        <v/>
      </c>
      <c r="DI57">
        <f>DG57-(DH56-DH57)</f>
        <v/>
      </c>
      <c r="DJ57">
        <f>MAX(0,DI57*(1+$E$31)-$F$31)</f>
        <v/>
      </c>
      <c r="DK57">
        <f>DK56-MIN(DK56,DJ57)</f>
        <v/>
      </c>
      <c r="DL57">
        <f>DJ57-(DK56-DK57)</f>
        <v/>
      </c>
      <c r="DM57">
        <f>MAX(0,DL57*(1+$E$31)-$F$31)</f>
        <v/>
      </c>
      <c r="DN57">
        <f>DN56-MIN(DN56,DM57)</f>
        <v/>
      </c>
      <c r="DO57">
        <f>DM57-(DN56-DN57)</f>
        <v/>
      </c>
      <c r="DP57">
        <f>MAX(0,DO57*(1+$E$31)-$F$31)</f>
        <v/>
      </c>
      <c r="DQ57">
        <f>DQ56-MIN(DQ56,DP57)</f>
        <v/>
      </c>
      <c r="DR57">
        <f>DP57-(DQ56-DQ57)</f>
        <v/>
      </c>
      <c r="DS57">
        <f>MAX(0,DR57*(1+$E$31)-$F$31)</f>
        <v/>
      </c>
      <c r="DT57">
        <f>DT56-MIN(DT56,DS57)</f>
        <v/>
      </c>
      <c r="DU57">
        <f>DS57-(DT56-DT57)</f>
        <v/>
      </c>
      <c r="DV57">
        <f>MAX(0,DU57*(1+$E$31)-$F$31)</f>
        <v/>
      </c>
      <c r="DW57">
        <f>DW56-MIN(DW56,DV57)</f>
        <v/>
      </c>
      <c r="DX57">
        <f>DV57-(DW56-DW57)</f>
        <v/>
      </c>
      <c r="DY57">
        <f>MAX(0,DX57*(1+$E$31)-$F$31)</f>
        <v/>
      </c>
      <c r="DZ57">
        <f>DZ56-MIN(DZ56,DY57)</f>
        <v/>
      </c>
      <c r="EA57">
        <f>DY57-(DZ56-DZ57)</f>
        <v/>
      </c>
      <c r="EB57">
        <f>MAX(0,EA57*(1+$E$31)-$F$31)</f>
        <v/>
      </c>
      <c r="EC57">
        <f>EC56-MIN(EC56,EB57)</f>
        <v/>
      </c>
      <c r="ED57">
        <f>EB57-(EC56-EC57)</f>
        <v/>
      </c>
      <c r="EE57">
        <f>MAX(0,ED57*(1+$E$31)-$F$31)</f>
        <v/>
      </c>
      <c r="EF57">
        <f>EF56-MIN(EF56,EE57)</f>
        <v/>
      </c>
      <c r="EG57">
        <f>EE57-(EF56-EF57)</f>
        <v/>
      </c>
      <c r="EH57">
        <f>MAX(0,EG57*(1+$E$31)-$F$31)</f>
        <v/>
      </c>
      <c r="EI57">
        <f>EI56-MIN(EI56,EH57)</f>
        <v/>
      </c>
      <c r="EJ57">
        <f>EH57-(EI56-EI57)</f>
        <v/>
      </c>
      <c r="EK57">
        <f>MAX(0,EJ57*(1+$E$31)-$F$31)</f>
        <v/>
      </c>
      <c r="EL57">
        <f>EL56-MIN(EL56,EK57)</f>
        <v/>
      </c>
      <c r="EM57">
        <f>EK57-(EL56-EL57)</f>
        <v/>
      </c>
      <c r="EN57">
        <f>MAX(0,EM57*(1+$E$31)-$F$31)</f>
        <v/>
      </c>
      <c r="EO57">
        <f>EO56-MIN(EO56,EN57)</f>
        <v/>
      </c>
      <c r="EP57">
        <f>EN57-(EO56-EO57)</f>
        <v/>
      </c>
      <c r="EQ57">
        <f>MAX(0,EP57*(1+$E$31)-$F$31)</f>
        <v/>
      </c>
      <c r="ER57">
        <f>ER56-MIN(ER56,EQ57)</f>
        <v/>
      </c>
      <c r="ES57">
        <f>EQ57-(ER56-ER57)</f>
        <v/>
      </c>
      <c r="ET57">
        <f>MAX(0,ES57*(1+$E$31)-$F$31)</f>
        <v/>
      </c>
      <c r="EU57">
        <f>EU56-MIN(EU56,ET57)</f>
        <v/>
      </c>
      <c r="EV57">
        <f>ET57-(EU56-EU57)</f>
        <v/>
      </c>
      <c r="EW57">
        <f>MAX(0,EV57*(1+$E$31)-$F$31)</f>
        <v/>
      </c>
      <c r="EX57">
        <f>EX56-MIN(EX56,EW57)</f>
        <v/>
      </c>
      <c r="EY57">
        <f>EW57-(EX56-EX57)</f>
        <v/>
      </c>
      <c r="EZ57">
        <f>MAX(0,EY57*(1+$E$31)-$F$31)</f>
        <v/>
      </c>
      <c r="FA57">
        <f>FA56-MIN(FA56,EZ57)</f>
        <v/>
      </c>
      <c r="FB57">
        <f>EZ57-(FA56-FA57)</f>
        <v/>
      </c>
      <c r="FC57">
        <f>MAX(0,FB57*(1+$E$31)-$F$31)</f>
        <v/>
      </c>
      <c r="FD57">
        <f>FD56-MIN(FD56,FC57)</f>
        <v/>
      </c>
      <c r="FE57">
        <f>FC57-(FD56-FD57)</f>
        <v/>
      </c>
      <c r="FF57">
        <f>MAX(0,FE57*(1+$E$31)-$F$31)</f>
        <v/>
      </c>
      <c r="FG57">
        <f>FG56-MIN(FG56,FF57)</f>
        <v/>
      </c>
      <c r="FH57">
        <f>FF57-(FG56-FG57)</f>
        <v/>
      </c>
      <c r="FI57">
        <f>MAX(0,FH57*(1+$E$31)-$F$31)</f>
        <v/>
      </c>
      <c r="FJ57">
        <f>FJ56-MIN(FJ56,FI57)</f>
        <v/>
      </c>
      <c r="FK57">
        <f>FI57-(FJ56-FJ57)</f>
        <v/>
      </c>
      <c r="FL57">
        <f>MAX(0,FK57*(1+$E$31)-$F$31)</f>
        <v/>
      </c>
      <c r="FM57">
        <f>FM56-MIN(FM56,FL57)</f>
        <v/>
      </c>
      <c r="FN57">
        <f>FL57-(FM56-FM57)</f>
        <v/>
      </c>
      <c r="FO57">
        <f>MAX(0,FN57*(1+$E$31)-$F$31)</f>
        <v/>
      </c>
      <c r="FP57">
        <f>FP56-MIN(FP56,FO57)</f>
        <v/>
      </c>
      <c r="FQ57">
        <f>FO57-(FP56-FP57)</f>
        <v/>
      </c>
      <c r="FR57">
        <f>MAX(0,FQ57*(1+$E$31)-$F$31)</f>
        <v/>
      </c>
      <c r="FS57">
        <f>FS56-MIN(FS56,FR57)</f>
        <v/>
      </c>
      <c r="FT57">
        <f>FR57-(FS56-FS57)</f>
        <v/>
      </c>
      <c r="FU57">
        <f>MAX(0,FT57*(1+$E$31)-$F$31)</f>
        <v/>
      </c>
      <c r="FV57">
        <f>FV56-MIN(FV56,FU57)</f>
        <v/>
      </c>
      <c r="FW57">
        <f>FU57-(FV56-FV57)</f>
        <v/>
      </c>
      <c r="FX57">
        <f>MAX(0,FW57*(1+$E$31)-$F$31)</f>
        <v/>
      </c>
      <c r="FY57">
        <f>FY56-MIN(FY56,FX57)</f>
        <v/>
      </c>
      <c r="FZ57">
        <f>FX57-(FY56-FY57)</f>
        <v/>
      </c>
      <c r="GA57">
        <f>MAX(0,FZ57*(1+$E$31)-$F$31)</f>
        <v/>
      </c>
      <c r="GB57">
        <f>GB56-MIN(GB56,GA57)</f>
        <v/>
      </c>
      <c r="GC57">
        <f>GA57-(GB56-GB57)</f>
        <v/>
      </c>
      <c r="GD57">
        <f>MAX(0,GC57*(1+$E$31)-$F$31)</f>
        <v/>
      </c>
      <c r="GE57">
        <f>GE56-MIN(GE56,GD57)</f>
        <v/>
      </c>
      <c r="GF57">
        <f>GD57-(GE56-GE57)</f>
        <v/>
      </c>
      <c r="GG57">
        <f>MAX(0,GF57*(1+$E$31)-$F$31)</f>
        <v/>
      </c>
      <c r="GH57">
        <f>GH56-MIN(GH56,GG57)</f>
        <v/>
      </c>
      <c r="GI57">
        <f>GG57-(GH56-GH57)</f>
        <v/>
      </c>
      <c r="GJ57">
        <f>MAX(0,GI57*(1+$E$31)-$F$31)</f>
        <v/>
      </c>
      <c r="GK57">
        <f>GK56-MIN(GK56,GJ57)</f>
        <v/>
      </c>
      <c r="GL57">
        <f>GJ57-(GK56-GK57)</f>
        <v/>
      </c>
      <c r="GM57">
        <f>MAX(0,GL57*(1+$E$31)-$F$31)</f>
        <v/>
      </c>
      <c r="GN57">
        <f>GN56-MIN(GN56,GM57)</f>
        <v/>
      </c>
      <c r="GO57">
        <f>GM57-(GN56-GN57)</f>
        <v/>
      </c>
      <c r="GP57">
        <f>MAX(0,GO57*(1+$E$31)-$F$31)</f>
        <v/>
      </c>
      <c r="GQ57">
        <f>GQ56-MIN(GQ56,GP57)</f>
        <v/>
      </c>
      <c r="GR57">
        <f>GP57-(GQ56-GQ57)</f>
        <v/>
      </c>
      <c r="GS57">
        <f>MAX(0,GR57*(1+$E$31)-$F$31)</f>
        <v/>
      </c>
      <c r="GT57">
        <f>GT56-MIN(GT56,GS57)</f>
        <v/>
      </c>
      <c r="GU57">
        <f>GS57-(GT56-GT57)</f>
        <v/>
      </c>
      <c r="GV57">
        <f>MAX(0,GU57*(1+$E$31)-$F$31)</f>
        <v/>
      </c>
      <c r="GW57">
        <f>GW56-MIN(GW56,GV57)</f>
        <v/>
      </c>
      <c r="GX57">
        <f>GV57-(GW56-GW57)</f>
        <v/>
      </c>
      <c r="GY57">
        <f>MAX(0,GX57*(1+$E$31)-$F$31)</f>
        <v/>
      </c>
      <c r="GZ57">
        <f>GZ56-MIN(GZ56,GY57)</f>
        <v/>
      </c>
      <c r="HA57">
        <f>GY57-(GZ56-GZ57)</f>
        <v/>
      </c>
      <c r="HB57">
        <f>MAX(0,HA57*(1+$E$31)-$F$31)</f>
        <v/>
      </c>
      <c r="HC57">
        <f>HC56-MIN(HC56,HB57)</f>
        <v/>
      </c>
      <c r="HD57">
        <f>HB57-(HC56-HC57)</f>
        <v/>
      </c>
      <c r="HE57">
        <f>MAX(0,HD57*(1+$E$31)-$F$31)</f>
        <v/>
      </c>
      <c r="HF57">
        <f>HF56-MIN(HF56,HE57)</f>
        <v/>
      </c>
      <c r="HG57">
        <f>HE57-(HF56-HF57)</f>
        <v/>
      </c>
      <c r="HH57">
        <f>MAX(0,HG57*(1+$E$31)-$F$31)</f>
        <v/>
      </c>
      <c r="HI57">
        <f>HI56-MIN(HI56,HH57)</f>
        <v/>
      </c>
      <c r="HJ57">
        <f>HH57-(HI56-HI57)</f>
        <v/>
      </c>
      <c r="HK57">
        <f>MAX(0,HJ57*(1+$E$31)-$F$31)</f>
        <v/>
      </c>
      <c r="HL57">
        <f>HL56-MIN(HL56,HK57)</f>
        <v/>
      </c>
      <c r="HM57">
        <f>HK57-(HL56-HL57)</f>
        <v/>
      </c>
      <c r="HN57">
        <f>MAX(0,HM57*(1+$E$31)-$F$31)</f>
        <v/>
      </c>
      <c r="HO57">
        <f>HO56-MIN(HO56,HN57)</f>
        <v/>
      </c>
      <c r="HP57">
        <f>HN57-(HO56-HO57)</f>
        <v/>
      </c>
      <c r="HQ57">
        <f>MAX(0,HP57*(1+$E$31)-$F$31)</f>
        <v/>
      </c>
      <c r="HR57">
        <f>HR56-MIN(HR56,HQ57)</f>
        <v/>
      </c>
      <c r="HS57">
        <f>HQ57-(HR56-HR57)</f>
        <v/>
      </c>
      <c r="HT57">
        <f>MAX(0,HS57*(1+$E$31)-$F$31)</f>
        <v/>
      </c>
      <c r="HU57">
        <f>HU56-MIN(HU56,HT57)</f>
        <v/>
      </c>
      <c r="HV57">
        <f>HT57-(HU56-HU57)</f>
        <v/>
      </c>
      <c r="HW57">
        <f>MAX(0,HV57*(1+$E$31)-$F$31)</f>
        <v/>
      </c>
      <c r="HX57">
        <f>HX56-MIN(HX56,HW57)</f>
        <v/>
      </c>
      <c r="HY57">
        <f>HW57-(HX56-HX57)</f>
        <v/>
      </c>
      <c r="HZ57">
        <f>MAX(0,HY57*(1+$E$31)-$F$31)</f>
        <v/>
      </c>
      <c r="IA57">
        <f>IA56-MIN(IA56,HZ57)</f>
        <v/>
      </c>
      <c r="IB57">
        <f>HZ57-(IA56-IA57)</f>
        <v/>
      </c>
      <c r="IC57">
        <f>MAX(0,IB57*(1+$E$31)-$F$31)</f>
        <v/>
      </c>
      <c r="ID57">
        <f>ID56-MIN(ID56,IC57)</f>
        <v/>
      </c>
      <c r="IE57">
        <f>IC57-(ID56-ID57)</f>
        <v/>
      </c>
      <c r="IF57">
        <f>MAX(0,IE57*(1+$E$31)-$F$31)</f>
        <v/>
      </c>
      <c r="IG57">
        <f>IG56-MIN(IG56,IF57)</f>
        <v/>
      </c>
      <c r="IH57">
        <f>IF57-(IG56-IG57)</f>
        <v/>
      </c>
      <c r="II57">
        <f>MAX(0,IH57*(1+$E$31)-$F$31)</f>
        <v/>
      </c>
      <c r="IJ57">
        <f>IJ56-MIN(IJ56,II57)</f>
        <v/>
      </c>
      <c r="IK57">
        <f>II57-(IJ56-IJ57)</f>
        <v/>
      </c>
      <c r="IL57">
        <f>MAX(0,IK57*(1+$E$31)-$F$31)</f>
        <v/>
      </c>
      <c r="IM57">
        <f>IM56-MIN(IM56,IL57)</f>
        <v/>
      </c>
      <c r="IN57">
        <f>IL57-(IM56-IM57)</f>
        <v/>
      </c>
      <c r="IO57">
        <f>MAX(0,IN57*(1+$E$31)-$F$31)</f>
        <v/>
      </c>
      <c r="IP57">
        <f>IP56-MIN(IP56,IO57)</f>
        <v/>
      </c>
      <c r="IQ57">
        <f>IO57-(IP56-IP57)</f>
        <v/>
      </c>
      <c r="IR57">
        <f>MAX(0,IQ57*(1+$E$31)-$F$31)</f>
        <v/>
      </c>
      <c r="IS57">
        <f>IS56-MIN(IS56,IR57)</f>
        <v/>
      </c>
      <c r="IT57">
        <f>IR57-(IS56-IS57)</f>
        <v/>
      </c>
      <c r="IU57">
        <f>MAX(0,IT57*(1+$E$31)-$F$31)</f>
        <v/>
      </c>
      <c r="IV57">
        <f>IV56-MIN(IV56,IU57)</f>
        <v/>
      </c>
      <c r="IW57">
        <f>IU57-(IV56-IV57)</f>
        <v/>
      </c>
      <c r="IX57">
        <f>MAX(0,IW57*(1+$E$31)-$F$31)</f>
        <v/>
      </c>
      <c r="IY57">
        <f>IY56-MIN(IY56,IX57)</f>
        <v/>
      </c>
      <c r="IZ57">
        <f>IX57-(IY56-IY57)</f>
        <v/>
      </c>
      <c r="JA57">
        <f>MAX(0,IZ57*(1+$E$31)-$F$31)</f>
        <v/>
      </c>
      <c r="JB57">
        <f>JB56-MIN(JB56,JA57)</f>
        <v/>
      </c>
      <c r="JC57">
        <f>JA57-(JB56-JB57)</f>
        <v/>
      </c>
      <c r="JD57">
        <f>MAX(0,JC57*(1+$E$31)-$F$31)</f>
        <v/>
      </c>
      <c r="JE57">
        <f>JE56-MIN(JE56,JD57)</f>
        <v/>
      </c>
      <c r="JF57">
        <f>JD57-(JE56-JE57)</f>
        <v/>
      </c>
      <c r="JG57">
        <f>MAX(0,JF57*(1+$E$31)-$F$31)</f>
        <v/>
      </c>
      <c r="JH57">
        <f>JH56-MIN(JH56,JG57)</f>
        <v/>
      </c>
      <c r="JI57">
        <f>JG57-(JH56-JH57)</f>
        <v/>
      </c>
      <c r="JJ57">
        <f>MAX(0,JI57*(1+$E$31)-$F$31)</f>
        <v/>
      </c>
      <c r="JK57">
        <f>JK56-MIN(JK56,JJ57)</f>
        <v/>
      </c>
      <c r="JL57">
        <f>JJ57-(JK56-JK57)</f>
        <v/>
      </c>
      <c r="JM57">
        <f>MAX(0,JL57*(1+$E$31)-$F$31)</f>
        <v/>
      </c>
      <c r="JN57">
        <f>JN56-MIN(JN56,JM57)</f>
        <v/>
      </c>
      <c r="JO57">
        <f>JM57-(JN56-JN57)</f>
        <v/>
      </c>
      <c r="JP57">
        <f>MAX(0,JO57*(1+$E$31)-$F$31)</f>
        <v/>
      </c>
      <c r="JQ57">
        <f>JQ56-MIN(JQ56,JP57)</f>
        <v/>
      </c>
      <c r="JR57">
        <f>JP57-(JQ56-JQ57)</f>
        <v/>
      </c>
      <c r="JS57">
        <f>MAX(0,JR57*(1+$E$31)-$F$31)</f>
        <v/>
      </c>
      <c r="JT57">
        <f>JT56-MIN(JT56,JS57)</f>
        <v/>
      </c>
      <c r="JU57">
        <f>JS57-(JT56-JT57)</f>
        <v/>
      </c>
      <c r="JV57">
        <f>MAX(0,JU57*(1+$E$31)-$F$31)</f>
        <v/>
      </c>
      <c r="JW57">
        <f>JW56-MIN(JW56,JV57)</f>
        <v/>
      </c>
      <c r="JX57">
        <f>JV57-(JW56-JW57)</f>
        <v/>
      </c>
      <c r="JY57">
        <f>MAX(0,JX57*(1+$E$31)-$F$31)</f>
        <v/>
      </c>
      <c r="JZ57">
        <f>JZ56-MIN(JZ56,JY57)</f>
        <v/>
      </c>
      <c r="KA57">
        <f>JY57-(JZ56-JZ57)</f>
        <v/>
      </c>
      <c r="KB57">
        <f>MAX(0,KA57*(1+$E$31)-$F$31)</f>
        <v/>
      </c>
      <c r="KC57">
        <f>KC56-MIN(KC56,KB57)</f>
        <v/>
      </c>
      <c r="KD57">
        <f>KB57-(KC56-KC57)</f>
        <v/>
      </c>
      <c r="KE57">
        <f>MAX(0,KD57*(1+$E$31)-$F$31)</f>
        <v/>
      </c>
      <c r="KF57">
        <f>KF56-MIN(KF56,KE57)</f>
        <v/>
      </c>
      <c r="KG57">
        <f>KE57-(KF56-KF57)</f>
        <v/>
      </c>
      <c r="KH57">
        <f>MAX(0,KG57*(1+$E$31)-$F$31)</f>
        <v/>
      </c>
      <c r="KI57">
        <f>KI56-MIN(KI56,KH57)</f>
        <v/>
      </c>
      <c r="KJ57">
        <f>KH57-(KI56-KI57)</f>
        <v/>
      </c>
      <c r="KK57">
        <f>MAX(0,KJ57*(1+$E$31)-$F$31)</f>
        <v/>
      </c>
      <c r="KL57">
        <f>KL56-MIN(KL56,KK57)</f>
        <v/>
      </c>
      <c r="KM57">
        <f>KK57-(KL56-KL57)</f>
        <v/>
      </c>
      <c r="KN57">
        <f>MAX(0,KM57*(1+$E$31)-$F$31)</f>
        <v/>
      </c>
      <c r="KO57">
        <f>KO56-MIN(KO56,KN57)</f>
        <v/>
      </c>
      <c r="KP57">
        <f>KN57-(KO56-KO57)</f>
        <v/>
      </c>
      <c r="KQ57">
        <f>MAX(0,KP57*(1+$E$31)-$F$31)</f>
        <v/>
      </c>
      <c r="KR57">
        <f>KR56-MIN(KR56,KQ57)</f>
        <v/>
      </c>
      <c r="KS57">
        <f>KQ57-(KR56-KR57)</f>
        <v/>
      </c>
      <c r="KT57">
        <f>MAX(0,KS57*(1+$E$31)-$F$31)</f>
        <v/>
      </c>
      <c r="KU57">
        <f>KU56-MIN(KU56,KT57)</f>
        <v/>
      </c>
      <c r="KV57">
        <f>KT57-(KU56-KU57)</f>
        <v/>
      </c>
      <c r="KW57">
        <f>MAX(0,KV57*(1+$E$31)-$F$31)</f>
        <v/>
      </c>
      <c r="KX57">
        <f>KX56-MIN(KX56,KW57)</f>
        <v/>
      </c>
      <c r="KY57">
        <f>KW57-(KX56-KX57)</f>
        <v/>
      </c>
      <c r="KZ57">
        <f>MAX(0,KY57*(1+$E$31)-$F$31)</f>
        <v/>
      </c>
      <c r="LA57">
        <f>LA56-MIN(LA56,KZ57)</f>
        <v/>
      </c>
      <c r="LB57">
        <f>KZ57-(LA56-LA57)</f>
        <v/>
      </c>
      <c r="LC57">
        <f>MAX(0,LB57*(1+$E$31)-$F$31)</f>
        <v/>
      </c>
      <c r="LD57">
        <f>LD56-MIN(LD56,LC57)</f>
        <v/>
      </c>
      <c r="LE57">
        <f>LC57-(LD56-LD57)</f>
        <v/>
      </c>
      <c r="LF57">
        <f>MAX(0,LE57*(1+$E$31)-$F$31)</f>
        <v/>
      </c>
      <c r="LG57">
        <f>LG56-MIN(LG56,LF57)</f>
        <v/>
      </c>
      <c r="LH57">
        <f>LF57-(LG56-LG57)</f>
        <v/>
      </c>
      <c r="LI57">
        <f>MAX(0,LH57*(1+$E$31)-$F$31)</f>
        <v/>
      </c>
      <c r="LJ57">
        <f>LJ56-MIN(LJ56,LI57)</f>
        <v/>
      </c>
      <c r="LK57">
        <f>LI57-(LJ56-LJ57)</f>
        <v/>
      </c>
      <c r="LL57">
        <f>MAX(0,LK57*(1+$E$31)-$F$31)</f>
        <v/>
      </c>
      <c r="LM57">
        <f>LM56-MIN(LM56,LL57)</f>
        <v/>
      </c>
      <c r="LN57">
        <f>LL57-(LM56-LM57)</f>
        <v/>
      </c>
      <c r="LO57">
        <f>MAX(0,LN57*(1+$E$31)-$F$31)</f>
        <v/>
      </c>
      <c r="LP57">
        <f>LP56-MIN(LP56,LO57)</f>
        <v/>
      </c>
      <c r="LQ57">
        <f>LO57-(LP56-LP57)</f>
        <v/>
      </c>
      <c r="LR57">
        <f>MAX(0,LQ57*(1+$E$31)-$F$31)</f>
        <v/>
      </c>
      <c r="LS57">
        <f>LS56-MIN(LS56,LR57)</f>
        <v/>
      </c>
      <c r="LT57">
        <f>LR57-(LS56-LS57)</f>
        <v/>
      </c>
      <c r="LU57">
        <f>MAX(0,LT57*(1+$E$31)-$F$31)</f>
        <v/>
      </c>
      <c r="LV57">
        <f>LV56-MIN(LV56,LU57)</f>
        <v/>
      </c>
      <c r="LW57">
        <f>LU57-(LV56-LV57)</f>
        <v/>
      </c>
      <c r="LX57">
        <f>MAX(0,LW57*(1+$E$31)-$F$31)</f>
        <v/>
      </c>
      <c r="LY57">
        <f>LY56-MIN(LY56,LX57)</f>
        <v/>
      </c>
      <c r="LZ57">
        <f>LX57-(LY56-LY57)</f>
        <v/>
      </c>
      <c r="MA57">
        <f>MAX(0,LZ57*(1+$E$31)-$F$31)</f>
        <v/>
      </c>
      <c r="MB57">
        <f>MB56-MIN(MB56,MA57)</f>
        <v/>
      </c>
      <c r="MC57">
        <f>MA57-(MB56-MB57)</f>
        <v/>
      </c>
      <c r="MD57">
        <f>MAX(0,MC57*(1+$E$31)-$F$31)</f>
        <v/>
      </c>
      <c r="ME57">
        <f>ME56-MIN(ME56,MD57)</f>
        <v/>
      </c>
      <c r="MF57">
        <f>MD57-(ME56-ME57)</f>
        <v/>
      </c>
      <c r="MG57">
        <f>MAX(0,MF57*(1+$E$31)-$F$31)</f>
        <v/>
      </c>
      <c r="MH57">
        <f>MH56-MIN(MH56,MG57)</f>
        <v/>
      </c>
      <c r="MI57">
        <f>MG57-(MH56-MH57)</f>
        <v/>
      </c>
      <c r="MJ57">
        <f>MAX(0,MI57*(1+$E$31)-$F$31)</f>
        <v/>
      </c>
      <c r="MK57">
        <f>MK56-MIN(MK56,MJ57)</f>
        <v/>
      </c>
      <c r="ML57">
        <f>MJ57-(MK56-MK57)</f>
        <v/>
      </c>
      <c r="MM57">
        <f>MAX(0,ML57*(1+$E$31)-$F$31)</f>
        <v/>
      </c>
      <c r="MN57">
        <f>MN56-MIN(MN56,MM57)</f>
        <v/>
      </c>
      <c r="MO57">
        <f>MM57-(MN56-MN57)</f>
        <v/>
      </c>
      <c r="MP57">
        <f>MAX(0,MO57*(1+$E$31)-$F$31)</f>
        <v/>
      </c>
      <c r="MQ57">
        <f>MQ56-MIN(MQ56,MP57)</f>
        <v/>
      </c>
      <c r="MR57">
        <f>MP57-(MQ56-MQ57)</f>
        <v/>
      </c>
      <c r="MS57">
        <f>MAX(0,MR57*(1+$E$31)-$F$31)</f>
        <v/>
      </c>
      <c r="MT57">
        <f>MT56-MIN(MT56,MS57)</f>
        <v/>
      </c>
      <c r="MU57">
        <f>MS57-(MT56-MT57)</f>
        <v/>
      </c>
      <c r="MV57">
        <f>MAX(0,MU57*(1+$E$31)-$F$31)</f>
        <v/>
      </c>
      <c r="MW57">
        <f>MW56-MIN(MW56,MV57)</f>
        <v/>
      </c>
      <c r="MX57">
        <f>MV57-(MW56-MW57)</f>
        <v/>
      </c>
    </row>
    <row r="58">
      <c r="A58" t="inlineStr">
        <is>
          <t>slot 9</t>
        </is>
      </c>
      <c r="B58">
        <f>D32</f>
        <v/>
      </c>
      <c r="C58">
        <f>MAX(0,B58*(1+$E$32)-$F$32)</f>
        <v/>
      </c>
      <c r="D58">
        <f>D57-MIN(D57,C58)</f>
        <v/>
      </c>
      <c r="E58">
        <f>C58-(D57-D58)</f>
        <v/>
      </c>
      <c r="F58">
        <f>MAX(0,E58*(1+$E$32)-$F$32)</f>
        <v/>
      </c>
      <c r="G58">
        <f>G57-MIN(G57,F58)</f>
        <v/>
      </c>
      <c r="H58">
        <f>F58-(G57-G58)</f>
        <v/>
      </c>
      <c r="I58">
        <f>MAX(0,H58*(1+$E$32)-$F$32)</f>
        <v/>
      </c>
      <c r="J58">
        <f>J57-MIN(J57,I58)</f>
        <v/>
      </c>
      <c r="K58">
        <f>I58-(J57-J58)</f>
        <v/>
      </c>
      <c r="L58">
        <f>MAX(0,K58*(1+$E$32)-$F$32)</f>
        <v/>
      </c>
      <c r="M58">
        <f>M57-MIN(M57,L58)</f>
        <v/>
      </c>
      <c r="N58">
        <f>L58-(M57-M58)</f>
        <v/>
      </c>
      <c r="O58">
        <f>MAX(0,N58*(1+$E$32)-$F$32)</f>
        <v/>
      </c>
      <c r="P58">
        <f>P57-MIN(P57,O58)</f>
        <v/>
      </c>
      <c r="Q58">
        <f>O58-(P57-P58)</f>
        <v/>
      </c>
      <c r="R58">
        <f>MAX(0,Q58*(1+$E$32)-$F$32)</f>
        <v/>
      </c>
      <c r="S58">
        <f>S57-MIN(S57,R58)</f>
        <v/>
      </c>
      <c r="T58">
        <f>R58-(S57-S58)</f>
        <v/>
      </c>
      <c r="U58">
        <f>MAX(0,T58*(1+$E$32)-$F$32)</f>
        <v/>
      </c>
      <c r="V58">
        <f>V57-MIN(V57,U58)</f>
        <v/>
      </c>
      <c r="W58">
        <f>U58-(V57-V58)</f>
        <v/>
      </c>
      <c r="X58">
        <f>MAX(0,W58*(1+$E$32)-$F$32)</f>
        <v/>
      </c>
      <c r="Y58">
        <f>Y57-MIN(Y57,X58)</f>
        <v/>
      </c>
      <c r="Z58">
        <f>X58-(Y57-Y58)</f>
        <v/>
      </c>
      <c r="AA58">
        <f>MAX(0,Z58*(1+$E$32)-$F$32)</f>
        <v/>
      </c>
      <c r="AB58">
        <f>AB57-MIN(AB57,AA58)</f>
        <v/>
      </c>
      <c r="AC58">
        <f>AA58-(AB57-AB58)</f>
        <v/>
      </c>
      <c r="AD58">
        <f>MAX(0,AC58*(1+$E$32)-$F$32)</f>
        <v/>
      </c>
      <c r="AE58">
        <f>AE57-MIN(AE57,AD58)</f>
        <v/>
      </c>
      <c r="AF58">
        <f>AD58-(AE57-AE58)</f>
        <v/>
      </c>
      <c r="AG58">
        <f>MAX(0,AF58*(1+$E$32)-$F$32)</f>
        <v/>
      </c>
      <c r="AH58">
        <f>AH57-MIN(AH57,AG58)</f>
        <v/>
      </c>
      <c r="AI58">
        <f>AG58-(AH57-AH58)</f>
        <v/>
      </c>
      <c r="AJ58">
        <f>MAX(0,AI58*(1+$E$32)-$F$32)</f>
        <v/>
      </c>
      <c r="AK58">
        <f>AK57-MIN(AK57,AJ58)</f>
        <v/>
      </c>
      <c r="AL58">
        <f>AJ58-(AK57-AK58)</f>
        <v/>
      </c>
      <c r="AM58">
        <f>MAX(0,AL58*(1+$E$32)-$F$32)</f>
        <v/>
      </c>
      <c r="AN58">
        <f>AN57-MIN(AN57,AM58)</f>
        <v/>
      </c>
      <c r="AO58">
        <f>AM58-(AN57-AN58)</f>
        <v/>
      </c>
      <c r="AP58">
        <f>MAX(0,AO58*(1+$E$32)-$F$32)</f>
        <v/>
      </c>
      <c r="AQ58">
        <f>AQ57-MIN(AQ57,AP58)</f>
        <v/>
      </c>
      <c r="AR58">
        <f>AP58-(AQ57-AQ58)</f>
        <v/>
      </c>
      <c r="AS58">
        <f>MAX(0,AR58*(1+$E$32)-$F$32)</f>
        <v/>
      </c>
      <c r="AT58">
        <f>AT57-MIN(AT57,AS58)</f>
        <v/>
      </c>
      <c r="AU58">
        <f>AS58-(AT57-AT58)</f>
        <v/>
      </c>
      <c r="AV58">
        <f>MAX(0,AU58*(1+$E$32)-$F$32)</f>
        <v/>
      </c>
      <c r="AW58">
        <f>AW57-MIN(AW57,AV58)</f>
        <v/>
      </c>
      <c r="AX58">
        <f>AV58-(AW57-AW58)</f>
        <v/>
      </c>
      <c r="AY58">
        <f>MAX(0,AX58*(1+$E$32)-$F$32)</f>
        <v/>
      </c>
      <c r="AZ58">
        <f>AZ57-MIN(AZ57,AY58)</f>
        <v/>
      </c>
      <c r="BA58">
        <f>AY58-(AZ57-AZ58)</f>
        <v/>
      </c>
      <c r="BB58">
        <f>MAX(0,BA58*(1+$E$32)-$F$32)</f>
        <v/>
      </c>
      <c r="BC58">
        <f>BC57-MIN(BC57,BB58)</f>
        <v/>
      </c>
      <c r="BD58">
        <f>BB58-(BC57-BC58)</f>
        <v/>
      </c>
      <c r="BE58">
        <f>MAX(0,BD58*(1+$E$32)-$F$32)</f>
        <v/>
      </c>
      <c r="BF58">
        <f>BF57-MIN(BF57,BE58)</f>
        <v/>
      </c>
      <c r="BG58">
        <f>BE58-(BF57-BF58)</f>
        <v/>
      </c>
      <c r="BH58">
        <f>MAX(0,BG58*(1+$E$32)-$F$32)</f>
        <v/>
      </c>
      <c r="BI58">
        <f>BI57-MIN(BI57,BH58)</f>
        <v/>
      </c>
      <c r="BJ58">
        <f>BH58-(BI57-BI58)</f>
        <v/>
      </c>
      <c r="BK58">
        <f>MAX(0,BJ58*(1+$E$32)-$F$32)</f>
        <v/>
      </c>
      <c r="BL58">
        <f>BL57-MIN(BL57,BK58)</f>
        <v/>
      </c>
      <c r="BM58">
        <f>BK58-(BL57-BL58)</f>
        <v/>
      </c>
      <c r="BN58">
        <f>MAX(0,BM58*(1+$E$32)-$F$32)</f>
        <v/>
      </c>
      <c r="BO58">
        <f>BO57-MIN(BO57,BN58)</f>
        <v/>
      </c>
      <c r="BP58">
        <f>BN58-(BO57-BO58)</f>
        <v/>
      </c>
      <c r="BQ58">
        <f>MAX(0,BP58*(1+$E$32)-$F$32)</f>
        <v/>
      </c>
      <c r="BR58">
        <f>BR57-MIN(BR57,BQ58)</f>
        <v/>
      </c>
      <c r="BS58">
        <f>BQ58-(BR57-BR58)</f>
        <v/>
      </c>
      <c r="BT58">
        <f>MAX(0,BS58*(1+$E$32)-$F$32)</f>
        <v/>
      </c>
      <c r="BU58">
        <f>BU57-MIN(BU57,BT58)</f>
        <v/>
      </c>
      <c r="BV58">
        <f>BT58-(BU57-BU58)</f>
        <v/>
      </c>
      <c r="BW58">
        <f>MAX(0,BV58*(1+$E$32)-$F$32)</f>
        <v/>
      </c>
      <c r="BX58">
        <f>BX57-MIN(BX57,BW58)</f>
        <v/>
      </c>
      <c r="BY58">
        <f>BW58-(BX57-BX58)</f>
        <v/>
      </c>
      <c r="BZ58">
        <f>MAX(0,BY58*(1+$E$32)-$F$32)</f>
        <v/>
      </c>
      <c r="CA58">
        <f>CA57-MIN(CA57,BZ58)</f>
        <v/>
      </c>
      <c r="CB58">
        <f>BZ58-(CA57-CA58)</f>
        <v/>
      </c>
      <c r="CC58">
        <f>MAX(0,CB58*(1+$E$32)-$F$32)</f>
        <v/>
      </c>
      <c r="CD58">
        <f>CD57-MIN(CD57,CC58)</f>
        <v/>
      </c>
      <c r="CE58">
        <f>CC58-(CD57-CD58)</f>
        <v/>
      </c>
      <c r="CF58">
        <f>MAX(0,CE58*(1+$E$32)-$F$32)</f>
        <v/>
      </c>
      <c r="CG58">
        <f>CG57-MIN(CG57,CF58)</f>
        <v/>
      </c>
      <c r="CH58">
        <f>CF58-(CG57-CG58)</f>
        <v/>
      </c>
      <c r="CI58">
        <f>MAX(0,CH58*(1+$E$32)-$F$32)</f>
        <v/>
      </c>
      <c r="CJ58">
        <f>CJ57-MIN(CJ57,CI58)</f>
        <v/>
      </c>
      <c r="CK58">
        <f>CI58-(CJ57-CJ58)</f>
        <v/>
      </c>
      <c r="CL58">
        <f>MAX(0,CK58*(1+$E$32)-$F$32)</f>
        <v/>
      </c>
      <c r="CM58">
        <f>CM57-MIN(CM57,CL58)</f>
        <v/>
      </c>
      <c r="CN58">
        <f>CL58-(CM57-CM58)</f>
        <v/>
      </c>
      <c r="CO58">
        <f>MAX(0,CN58*(1+$E$32)-$F$32)</f>
        <v/>
      </c>
      <c r="CP58">
        <f>CP57-MIN(CP57,CO58)</f>
        <v/>
      </c>
      <c r="CQ58">
        <f>CO58-(CP57-CP58)</f>
        <v/>
      </c>
      <c r="CR58">
        <f>MAX(0,CQ58*(1+$E$32)-$F$32)</f>
        <v/>
      </c>
      <c r="CS58">
        <f>CS57-MIN(CS57,CR58)</f>
        <v/>
      </c>
      <c r="CT58">
        <f>CR58-(CS57-CS58)</f>
        <v/>
      </c>
      <c r="CU58">
        <f>MAX(0,CT58*(1+$E$32)-$F$32)</f>
        <v/>
      </c>
      <c r="CV58">
        <f>CV57-MIN(CV57,CU58)</f>
        <v/>
      </c>
      <c r="CW58">
        <f>CU58-(CV57-CV58)</f>
        <v/>
      </c>
      <c r="CX58">
        <f>MAX(0,CW58*(1+$E$32)-$F$32)</f>
        <v/>
      </c>
      <c r="CY58">
        <f>CY57-MIN(CY57,CX58)</f>
        <v/>
      </c>
      <c r="CZ58">
        <f>CX58-(CY57-CY58)</f>
        <v/>
      </c>
      <c r="DA58">
        <f>MAX(0,CZ58*(1+$E$32)-$F$32)</f>
        <v/>
      </c>
      <c r="DB58">
        <f>DB57-MIN(DB57,DA58)</f>
        <v/>
      </c>
      <c r="DC58">
        <f>DA58-(DB57-DB58)</f>
        <v/>
      </c>
      <c r="DD58">
        <f>MAX(0,DC58*(1+$E$32)-$F$32)</f>
        <v/>
      </c>
      <c r="DE58">
        <f>DE57-MIN(DE57,DD58)</f>
        <v/>
      </c>
      <c r="DF58">
        <f>DD58-(DE57-DE58)</f>
        <v/>
      </c>
      <c r="DG58">
        <f>MAX(0,DF58*(1+$E$32)-$F$32)</f>
        <v/>
      </c>
      <c r="DH58">
        <f>DH57-MIN(DH57,DG58)</f>
        <v/>
      </c>
      <c r="DI58">
        <f>DG58-(DH57-DH58)</f>
        <v/>
      </c>
      <c r="DJ58">
        <f>MAX(0,DI58*(1+$E$32)-$F$32)</f>
        <v/>
      </c>
      <c r="DK58">
        <f>DK57-MIN(DK57,DJ58)</f>
        <v/>
      </c>
      <c r="DL58">
        <f>DJ58-(DK57-DK58)</f>
        <v/>
      </c>
      <c r="DM58">
        <f>MAX(0,DL58*(1+$E$32)-$F$32)</f>
        <v/>
      </c>
      <c r="DN58">
        <f>DN57-MIN(DN57,DM58)</f>
        <v/>
      </c>
      <c r="DO58">
        <f>DM58-(DN57-DN58)</f>
        <v/>
      </c>
      <c r="DP58">
        <f>MAX(0,DO58*(1+$E$32)-$F$32)</f>
        <v/>
      </c>
      <c r="DQ58">
        <f>DQ57-MIN(DQ57,DP58)</f>
        <v/>
      </c>
      <c r="DR58">
        <f>DP58-(DQ57-DQ58)</f>
        <v/>
      </c>
      <c r="DS58">
        <f>MAX(0,DR58*(1+$E$32)-$F$32)</f>
        <v/>
      </c>
      <c r="DT58">
        <f>DT57-MIN(DT57,DS58)</f>
        <v/>
      </c>
      <c r="DU58">
        <f>DS58-(DT57-DT58)</f>
        <v/>
      </c>
      <c r="DV58">
        <f>MAX(0,DU58*(1+$E$32)-$F$32)</f>
        <v/>
      </c>
      <c r="DW58">
        <f>DW57-MIN(DW57,DV58)</f>
        <v/>
      </c>
      <c r="DX58">
        <f>DV58-(DW57-DW58)</f>
        <v/>
      </c>
      <c r="DY58">
        <f>MAX(0,DX58*(1+$E$32)-$F$32)</f>
        <v/>
      </c>
      <c r="DZ58">
        <f>DZ57-MIN(DZ57,DY58)</f>
        <v/>
      </c>
      <c r="EA58">
        <f>DY58-(DZ57-DZ58)</f>
        <v/>
      </c>
      <c r="EB58">
        <f>MAX(0,EA58*(1+$E$32)-$F$32)</f>
        <v/>
      </c>
      <c r="EC58">
        <f>EC57-MIN(EC57,EB58)</f>
        <v/>
      </c>
      <c r="ED58">
        <f>EB58-(EC57-EC58)</f>
        <v/>
      </c>
      <c r="EE58">
        <f>MAX(0,ED58*(1+$E$32)-$F$32)</f>
        <v/>
      </c>
      <c r="EF58">
        <f>EF57-MIN(EF57,EE58)</f>
        <v/>
      </c>
      <c r="EG58">
        <f>EE58-(EF57-EF58)</f>
        <v/>
      </c>
      <c r="EH58">
        <f>MAX(0,EG58*(1+$E$32)-$F$32)</f>
        <v/>
      </c>
      <c r="EI58">
        <f>EI57-MIN(EI57,EH58)</f>
        <v/>
      </c>
      <c r="EJ58">
        <f>EH58-(EI57-EI58)</f>
        <v/>
      </c>
      <c r="EK58">
        <f>MAX(0,EJ58*(1+$E$32)-$F$32)</f>
        <v/>
      </c>
      <c r="EL58">
        <f>EL57-MIN(EL57,EK58)</f>
        <v/>
      </c>
      <c r="EM58">
        <f>EK58-(EL57-EL58)</f>
        <v/>
      </c>
      <c r="EN58">
        <f>MAX(0,EM58*(1+$E$32)-$F$32)</f>
        <v/>
      </c>
      <c r="EO58">
        <f>EO57-MIN(EO57,EN58)</f>
        <v/>
      </c>
      <c r="EP58">
        <f>EN58-(EO57-EO58)</f>
        <v/>
      </c>
      <c r="EQ58">
        <f>MAX(0,EP58*(1+$E$32)-$F$32)</f>
        <v/>
      </c>
      <c r="ER58">
        <f>ER57-MIN(ER57,EQ58)</f>
        <v/>
      </c>
      <c r="ES58">
        <f>EQ58-(ER57-ER58)</f>
        <v/>
      </c>
      <c r="ET58">
        <f>MAX(0,ES58*(1+$E$32)-$F$32)</f>
        <v/>
      </c>
      <c r="EU58">
        <f>EU57-MIN(EU57,ET58)</f>
        <v/>
      </c>
      <c r="EV58">
        <f>ET58-(EU57-EU58)</f>
        <v/>
      </c>
      <c r="EW58">
        <f>MAX(0,EV58*(1+$E$32)-$F$32)</f>
        <v/>
      </c>
      <c r="EX58">
        <f>EX57-MIN(EX57,EW58)</f>
        <v/>
      </c>
      <c r="EY58">
        <f>EW58-(EX57-EX58)</f>
        <v/>
      </c>
      <c r="EZ58">
        <f>MAX(0,EY58*(1+$E$32)-$F$32)</f>
        <v/>
      </c>
      <c r="FA58">
        <f>FA57-MIN(FA57,EZ58)</f>
        <v/>
      </c>
      <c r="FB58">
        <f>EZ58-(FA57-FA58)</f>
        <v/>
      </c>
      <c r="FC58">
        <f>MAX(0,FB58*(1+$E$32)-$F$32)</f>
        <v/>
      </c>
      <c r="FD58">
        <f>FD57-MIN(FD57,FC58)</f>
        <v/>
      </c>
      <c r="FE58">
        <f>FC58-(FD57-FD58)</f>
        <v/>
      </c>
      <c r="FF58">
        <f>MAX(0,FE58*(1+$E$32)-$F$32)</f>
        <v/>
      </c>
      <c r="FG58">
        <f>FG57-MIN(FG57,FF58)</f>
        <v/>
      </c>
      <c r="FH58">
        <f>FF58-(FG57-FG58)</f>
        <v/>
      </c>
      <c r="FI58">
        <f>MAX(0,FH58*(1+$E$32)-$F$32)</f>
        <v/>
      </c>
      <c r="FJ58">
        <f>FJ57-MIN(FJ57,FI58)</f>
        <v/>
      </c>
      <c r="FK58">
        <f>FI58-(FJ57-FJ58)</f>
        <v/>
      </c>
      <c r="FL58">
        <f>MAX(0,FK58*(1+$E$32)-$F$32)</f>
        <v/>
      </c>
      <c r="FM58">
        <f>FM57-MIN(FM57,FL58)</f>
        <v/>
      </c>
      <c r="FN58">
        <f>FL58-(FM57-FM58)</f>
        <v/>
      </c>
      <c r="FO58">
        <f>MAX(0,FN58*(1+$E$32)-$F$32)</f>
        <v/>
      </c>
      <c r="FP58">
        <f>FP57-MIN(FP57,FO58)</f>
        <v/>
      </c>
      <c r="FQ58">
        <f>FO58-(FP57-FP58)</f>
        <v/>
      </c>
      <c r="FR58">
        <f>MAX(0,FQ58*(1+$E$32)-$F$32)</f>
        <v/>
      </c>
      <c r="FS58">
        <f>FS57-MIN(FS57,FR58)</f>
        <v/>
      </c>
      <c r="FT58">
        <f>FR58-(FS57-FS58)</f>
        <v/>
      </c>
      <c r="FU58">
        <f>MAX(0,FT58*(1+$E$32)-$F$32)</f>
        <v/>
      </c>
      <c r="FV58">
        <f>FV57-MIN(FV57,FU58)</f>
        <v/>
      </c>
      <c r="FW58">
        <f>FU58-(FV57-FV58)</f>
        <v/>
      </c>
      <c r="FX58">
        <f>MAX(0,FW58*(1+$E$32)-$F$32)</f>
        <v/>
      </c>
      <c r="FY58">
        <f>FY57-MIN(FY57,FX58)</f>
        <v/>
      </c>
      <c r="FZ58">
        <f>FX58-(FY57-FY58)</f>
        <v/>
      </c>
      <c r="GA58">
        <f>MAX(0,FZ58*(1+$E$32)-$F$32)</f>
        <v/>
      </c>
      <c r="GB58">
        <f>GB57-MIN(GB57,GA58)</f>
        <v/>
      </c>
      <c r="GC58">
        <f>GA58-(GB57-GB58)</f>
        <v/>
      </c>
      <c r="GD58">
        <f>MAX(0,GC58*(1+$E$32)-$F$32)</f>
        <v/>
      </c>
      <c r="GE58">
        <f>GE57-MIN(GE57,GD58)</f>
        <v/>
      </c>
      <c r="GF58">
        <f>GD58-(GE57-GE58)</f>
        <v/>
      </c>
      <c r="GG58">
        <f>MAX(0,GF58*(1+$E$32)-$F$32)</f>
        <v/>
      </c>
      <c r="GH58">
        <f>GH57-MIN(GH57,GG58)</f>
        <v/>
      </c>
      <c r="GI58">
        <f>GG58-(GH57-GH58)</f>
        <v/>
      </c>
      <c r="GJ58">
        <f>MAX(0,GI58*(1+$E$32)-$F$32)</f>
        <v/>
      </c>
      <c r="GK58">
        <f>GK57-MIN(GK57,GJ58)</f>
        <v/>
      </c>
      <c r="GL58">
        <f>GJ58-(GK57-GK58)</f>
        <v/>
      </c>
      <c r="GM58">
        <f>MAX(0,GL58*(1+$E$32)-$F$32)</f>
        <v/>
      </c>
      <c r="GN58">
        <f>GN57-MIN(GN57,GM58)</f>
        <v/>
      </c>
      <c r="GO58">
        <f>GM58-(GN57-GN58)</f>
        <v/>
      </c>
      <c r="GP58">
        <f>MAX(0,GO58*(1+$E$32)-$F$32)</f>
        <v/>
      </c>
      <c r="GQ58">
        <f>GQ57-MIN(GQ57,GP58)</f>
        <v/>
      </c>
      <c r="GR58">
        <f>GP58-(GQ57-GQ58)</f>
        <v/>
      </c>
      <c r="GS58">
        <f>MAX(0,GR58*(1+$E$32)-$F$32)</f>
        <v/>
      </c>
      <c r="GT58">
        <f>GT57-MIN(GT57,GS58)</f>
        <v/>
      </c>
      <c r="GU58">
        <f>GS58-(GT57-GT58)</f>
        <v/>
      </c>
      <c r="GV58">
        <f>MAX(0,GU58*(1+$E$32)-$F$32)</f>
        <v/>
      </c>
      <c r="GW58">
        <f>GW57-MIN(GW57,GV58)</f>
        <v/>
      </c>
      <c r="GX58">
        <f>GV58-(GW57-GW58)</f>
        <v/>
      </c>
      <c r="GY58">
        <f>MAX(0,GX58*(1+$E$32)-$F$32)</f>
        <v/>
      </c>
      <c r="GZ58">
        <f>GZ57-MIN(GZ57,GY58)</f>
        <v/>
      </c>
      <c r="HA58">
        <f>GY58-(GZ57-GZ58)</f>
        <v/>
      </c>
      <c r="HB58">
        <f>MAX(0,HA58*(1+$E$32)-$F$32)</f>
        <v/>
      </c>
      <c r="HC58">
        <f>HC57-MIN(HC57,HB58)</f>
        <v/>
      </c>
      <c r="HD58">
        <f>HB58-(HC57-HC58)</f>
        <v/>
      </c>
      <c r="HE58">
        <f>MAX(0,HD58*(1+$E$32)-$F$32)</f>
        <v/>
      </c>
      <c r="HF58">
        <f>HF57-MIN(HF57,HE58)</f>
        <v/>
      </c>
      <c r="HG58">
        <f>HE58-(HF57-HF58)</f>
        <v/>
      </c>
      <c r="HH58">
        <f>MAX(0,HG58*(1+$E$32)-$F$32)</f>
        <v/>
      </c>
      <c r="HI58">
        <f>HI57-MIN(HI57,HH58)</f>
        <v/>
      </c>
      <c r="HJ58">
        <f>HH58-(HI57-HI58)</f>
        <v/>
      </c>
      <c r="HK58">
        <f>MAX(0,HJ58*(1+$E$32)-$F$32)</f>
        <v/>
      </c>
      <c r="HL58">
        <f>HL57-MIN(HL57,HK58)</f>
        <v/>
      </c>
      <c r="HM58">
        <f>HK58-(HL57-HL58)</f>
        <v/>
      </c>
      <c r="HN58">
        <f>MAX(0,HM58*(1+$E$32)-$F$32)</f>
        <v/>
      </c>
      <c r="HO58">
        <f>HO57-MIN(HO57,HN58)</f>
        <v/>
      </c>
      <c r="HP58">
        <f>HN58-(HO57-HO58)</f>
        <v/>
      </c>
      <c r="HQ58">
        <f>MAX(0,HP58*(1+$E$32)-$F$32)</f>
        <v/>
      </c>
      <c r="HR58">
        <f>HR57-MIN(HR57,HQ58)</f>
        <v/>
      </c>
      <c r="HS58">
        <f>HQ58-(HR57-HR58)</f>
        <v/>
      </c>
      <c r="HT58">
        <f>MAX(0,HS58*(1+$E$32)-$F$32)</f>
        <v/>
      </c>
      <c r="HU58">
        <f>HU57-MIN(HU57,HT58)</f>
        <v/>
      </c>
      <c r="HV58">
        <f>HT58-(HU57-HU58)</f>
        <v/>
      </c>
      <c r="HW58">
        <f>MAX(0,HV58*(1+$E$32)-$F$32)</f>
        <v/>
      </c>
      <c r="HX58">
        <f>HX57-MIN(HX57,HW58)</f>
        <v/>
      </c>
      <c r="HY58">
        <f>HW58-(HX57-HX58)</f>
        <v/>
      </c>
      <c r="HZ58">
        <f>MAX(0,HY58*(1+$E$32)-$F$32)</f>
        <v/>
      </c>
      <c r="IA58">
        <f>IA57-MIN(IA57,HZ58)</f>
        <v/>
      </c>
      <c r="IB58">
        <f>HZ58-(IA57-IA58)</f>
        <v/>
      </c>
      <c r="IC58">
        <f>MAX(0,IB58*(1+$E$32)-$F$32)</f>
        <v/>
      </c>
      <c r="ID58">
        <f>ID57-MIN(ID57,IC58)</f>
        <v/>
      </c>
      <c r="IE58">
        <f>IC58-(ID57-ID58)</f>
        <v/>
      </c>
      <c r="IF58">
        <f>MAX(0,IE58*(1+$E$32)-$F$32)</f>
        <v/>
      </c>
      <c r="IG58">
        <f>IG57-MIN(IG57,IF58)</f>
        <v/>
      </c>
      <c r="IH58">
        <f>IF58-(IG57-IG58)</f>
        <v/>
      </c>
      <c r="II58">
        <f>MAX(0,IH58*(1+$E$32)-$F$32)</f>
        <v/>
      </c>
      <c r="IJ58">
        <f>IJ57-MIN(IJ57,II58)</f>
        <v/>
      </c>
      <c r="IK58">
        <f>II58-(IJ57-IJ58)</f>
        <v/>
      </c>
      <c r="IL58">
        <f>MAX(0,IK58*(1+$E$32)-$F$32)</f>
        <v/>
      </c>
      <c r="IM58">
        <f>IM57-MIN(IM57,IL58)</f>
        <v/>
      </c>
      <c r="IN58">
        <f>IL58-(IM57-IM58)</f>
        <v/>
      </c>
      <c r="IO58">
        <f>MAX(0,IN58*(1+$E$32)-$F$32)</f>
        <v/>
      </c>
      <c r="IP58">
        <f>IP57-MIN(IP57,IO58)</f>
        <v/>
      </c>
      <c r="IQ58">
        <f>IO58-(IP57-IP58)</f>
        <v/>
      </c>
      <c r="IR58">
        <f>MAX(0,IQ58*(1+$E$32)-$F$32)</f>
        <v/>
      </c>
      <c r="IS58">
        <f>IS57-MIN(IS57,IR58)</f>
        <v/>
      </c>
      <c r="IT58">
        <f>IR58-(IS57-IS58)</f>
        <v/>
      </c>
      <c r="IU58">
        <f>MAX(0,IT58*(1+$E$32)-$F$32)</f>
        <v/>
      </c>
      <c r="IV58">
        <f>IV57-MIN(IV57,IU58)</f>
        <v/>
      </c>
      <c r="IW58">
        <f>IU58-(IV57-IV58)</f>
        <v/>
      </c>
      <c r="IX58">
        <f>MAX(0,IW58*(1+$E$32)-$F$32)</f>
        <v/>
      </c>
      <c r="IY58">
        <f>IY57-MIN(IY57,IX58)</f>
        <v/>
      </c>
      <c r="IZ58">
        <f>IX58-(IY57-IY58)</f>
        <v/>
      </c>
      <c r="JA58">
        <f>MAX(0,IZ58*(1+$E$32)-$F$32)</f>
        <v/>
      </c>
      <c r="JB58">
        <f>JB57-MIN(JB57,JA58)</f>
        <v/>
      </c>
      <c r="JC58">
        <f>JA58-(JB57-JB58)</f>
        <v/>
      </c>
      <c r="JD58">
        <f>MAX(0,JC58*(1+$E$32)-$F$32)</f>
        <v/>
      </c>
      <c r="JE58">
        <f>JE57-MIN(JE57,JD58)</f>
        <v/>
      </c>
      <c r="JF58">
        <f>JD58-(JE57-JE58)</f>
        <v/>
      </c>
      <c r="JG58">
        <f>MAX(0,JF58*(1+$E$32)-$F$32)</f>
        <v/>
      </c>
      <c r="JH58">
        <f>JH57-MIN(JH57,JG58)</f>
        <v/>
      </c>
      <c r="JI58">
        <f>JG58-(JH57-JH58)</f>
        <v/>
      </c>
      <c r="JJ58">
        <f>MAX(0,JI58*(1+$E$32)-$F$32)</f>
        <v/>
      </c>
      <c r="JK58">
        <f>JK57-MIN(JK57,JJ58)</f>
        <v/>
      </c>
      <c r="JL58">
        <f>JJ58-(JK57-JK58)</f>
        <v/>
      </c>
      <c r="JM58">
        <f>MAX(0,JL58*(1+$E$32)-$F$32)</f>
        <v/>
      </c>
      <c r="JN58">
        <f>JN57-MIN(JN57,JM58)</f>
        <v/>
      </c>
      <c r="JO58">
        <f>JM58-(JN57-JN58)</f>
        <v/>
      </c>
      <c r="JP58">
        <f>MAX(0,JO58*(1+$E$32)-$F$32)</f>
        <v/>
      </c>
      <c r="JQ58">
        <f>JQ57-MIN(JQ57,JP58)</f>
        <v/>
      </c>
      <c r="JR58">
        <f>JP58-(JQ57-JQ58)</f>
        <v/>
      </c>
      <c r="JS58">
        <f>MAX(0,JR58*(1+$E$32)-$F$32)</f>
        <v/>
      </c>
      <c r="JT58">
        <f>JT57-MIN(JT57,JS58)</f>
        <v/>
      </c>
      <c r="JU58">
        <f>JS58-(JT57-JT58)</f>
        <v/>
      </c>
      <c r="JV58">
        <f>MAX(0,JU58*(1+$E$32)-$F$32)</f>
        <v/>
      </c>
      <c r="JW58">
        <f>JW57-MIN(JW57,JV58)</f>
        <v/>
      </c>
      <c r="JX58">
        <f>JV58-(JW57-JW58)</f>
        <v/>
      </c>
      <c r="JY58">
        <f>MAX(0,JX58*(1+$E$32)-$F$32)</f>
        <v/>
      </c>
      <c r="JZ58">
        <f>JZ57-MIN(JZ57,JY58)</f>
        <v/>
      </c>
      <c r="KA58">
        <f>JY58-(JZ57-JZ58)</f>
        <v/>
      </c>
      <c r="KB58">
        <f>MAX(0,KA58*(1+$E$32)-$F$32)</f>
        <v/>
      </c>
      <c r="KC58">
        <f>KC57-MIN(KC57,KB58)</f>
        <v/>
      </c>
      <c r="KD58">
        <f>KB58-(KC57-KC58)</f>
        <v/>
      </c>
      <c r="KE58">
        <f>MAX(0,KD58*(1+$E$32)-$F$32)</f>
        <v/>
      </c>
      <c r="KF58">
        <f>KF57-MIN(KF57,KE58)</f>
        <v/>
      </c>
      <c r="KG58">
        <f>KE58-(KF57-KF58)</f>
        <v/>
      </c>
      <c r="KH58">
        <f>MAX(0,KG58*(1+$E$32)-$F$32)</f>
        <v/>
      </c>
      <c r="KI58">
        <f>KI57-MIN(KI57,KH58)</f>
        <v/>
      </c>
      <c r="KJ58">
        <f>KH58-(KI57-KI58)</f>
        <v/>
      </c>
      <c r="KK58">
        <f>MAX(0,KJ58*(1+$E$32)-$F$32)</f>
        <v/>
      </c>
      <c r="KL58">
        <f>KL57-MIN(KL57,KK58)</f>
        <v/>
      </c>
      <c r="KM58">
        <f>KK58-(KL57-KL58)</f>
        <v/>
      </c>
      <c r="KN58">
        <f>MAX(0,KM58*(1+$E$32)-$F$32)</f>
        <v/>
      </c>
      <c r="KO58">
        <f>KO57-MIN(KO57,KN58)</f>
        <v/>
      </c>
      <c r="KP58">
        <f>KN58-(KO57-KO58)</f>
        <v/>
      </c>
      <c r="KQ58">
        <f>MAX(0,KP58*(1+$E$32)-$F$32)</f>
        <v/>
      </c>
      <c r="KR58">
        <f>KR57-MIN(KR57,KQ58)</f>
        <v/>
      </c>
      <c r="KS58">
        <f>KQ58-(KR57-KR58)</f>
        <v/>
      </c>
      <c r="KT58">
        <f>MAX(0,KS58*(1+$E$32)-$F$32)</f>
        <v/>
      </c>
      <c r="KU58">
        <f>KU57-MIN(KU57,KT58)</f>
        <v/>
      </c>
      <c r="KV58">
        <f>KT58-(KU57-KU58)</f>
        <v/>
      </c>
      <c r="KW58">
        <f>MAX(0,KV58*(1+$E$32)-$F$32)</f>
        <v/>
      </c>
      <c r="KX58">
        <f>KX57-MIN(KX57,KW58)</f>
        <v/>
      </c>
      <c r="KY58">
        <f>KW58-(KX57-KX58)</f>
        <v/>
      </c>
      <c r="KZ58">
        <f>MAX(0,KY58*(1+$E$32)-$F$32)</f>
        <v/>
      </c>
      <c r="LA58">
        <f>LA57-MIN(LA57,KZ58)</f>
        <v/>
      </c>
      <c r="LB58">
        <f>KZ58-(LA57-LA58)</f>
        <v/>
      </c>
      <c r="LC58">
        <f>MAX(0,LB58*(1+$E$32)-$F$32)</f>
        <v/>
      </c>
      <c r="LD58">
        <f>LD57-MIN(LD57,LC58)</f>
        <v/>
      </c>
      <c r="LE58">
        <f>LC58-(LD57-LD58)</f>
        <v/>
      </c>
      <c r="LF58">
        <f>MAX(0,LE58*(1+$E$32)-$F$32)</f>
        <v/>
      </c>
      <c r="LG58">
        <f>LG57-MIN(LG57,LF58)</f>
        <v/>
      </c>
      <c r="LH58">
        <f>LF58-(LG57-LG58)</f>
        <v/>
      </c>
      <c r="LI58">
        <f>MAX(0,LH58*(1+$E$32)-$F$32)</f>
        <v/>
      </c>
      <c r="LJ58">
        <f>LJ57-MIN(LJ57,LI58)</f>
        <v/>
      </c>
      <c r="LK58">
        <f>LI58-(LJ57-LJ58)</f>
        <v/>
      </c>
      <c r="LL58">
        <f>MAX(0,LK58*(1+$E$32)-$F$32)</f>
        <v/>
      </c>
      <c r="LM58">
        <f>LM57-MIN(LM57,LL58)</f>
        <v/>
      </c>
      <c r="LN58">
        <f>LL58-(LM57-LM58)</f>
        <v/>
      </c>
      <c r="LO58">
        <f>MAX(0,LN58*(1+$E$32)-$F$32)</f>
        <v/>
      </c>
      <c r="LP58">
        <f>LP57-MIN(LP57,LO58)</f>
        <v/>
      </c>
      <c r="LQ58">
        <f>LO58-(LP57-LP58)</f>
        <v/>
      </c>
      <c r="LR58">
        <f>MAX(0,LQ58*(1+$E$32)-$F$32)</f>
        <v/>
      </c>
      <c r="LS58">
        <f>LS57-MIN(LS57,LR58)</f>
        <v/>
      </c>
      <c r="LT58">
        <f>LR58-(LS57-LS58)</f>
        <v/>
      </c>
      <c r="LU58">
        <f>MAX(0,LT58*(1+$E$32)-$F$32)</f>
        <v/>
      </c>
      <c r="LV58">
        <f>LV57-MIN(LV57,LU58)</f>
        <v/>
      </c>
      <c r="LW58">
        <f>LU58-(LV57-LV58)</f>
        <v/>
      </c>
      <c r="LX58">
        <f>MAX(0,LW58*(1+$E$32)-$F$32)</f>
        <v/>
      </c>
      <c r="LY58">
        <f>LY57-MIN(LY57,LX58)</f>
        <v/>
      </c>
      <c r="LZ58">
        <f>LX58-(LY57-LY58)</f>
        <v/>
      </c>
      <c r="MA58">
        <f>MAX(0,LZ58*(1+$E$32)-$F$32)</f>
        <v/>
      </c>
      <c r="MB58">
        <f>MB57-MIN(MB57,MA58)</f>
        <v/>
      </c>
      <c r="MC58">
        <f>MA58-(MB57-MB58)</f>
        <v/>
      </c>
      <c r="MD58">
        <f>MAX(0,MC58*(1+$E$32)-$F$32)</f>
        <v/>
      </c>
      <c r="ME58">
        <f>ME57-MIN(ME57,MD58)</f>
        <v/>
      </c>
      <c r="MF58">
        <f>MD58-(ME57-ME58)</f>
        <v/>
      </c>
      <c r="MG58">
        <f>MAX(0,MF58*(1+$E$32)-$F$32)</f>
        <v/>
      </c>
      <c r="MH58">
        <f>MH57-MIN(MH57,MG58)</f>
        <v/>
      </c>
      <c r="MI58">
        <f>MG58-(MH57-MH58)</f>
        <v/>
      </c>
      <c r="MJ58">
        <f>MAX(0,MI58*(1+$E$32)-$F$32)</f>
        <v/>
      </c>
      <c r="MK58">
        <f>MK57-MIN(MK57,MJ58)</f>
        <v/>
      </c>
      <c r="ML58">
        <f>MJ58-(MK57-MK58)</f>
        <v/>
      </c>
      <c r="MM58">
        <f>MAX(0,ML58*(1+$E$32)-$F$32)</f>
        <v/>
      </c>
      <c r="MN58">
        <f>MN57-MIN(MN57,MM58)</f>
        <v/>
      </c>
      <c r="MO58">
        <f>MM58-(MN57-MN58)</f>
        <v/>
      </c>
      <c r="MP58">
        <f>MAX(0,MO58*(1+$E$32)-$F$32)</f>
        <v/>
      </c>
      <c r="MQ58">
        <f>MQ57-MIN(MQ57,MP58)</f>
        <v/>
      </c>
      <c r="MR58">
        <f>MP58-(MQ57-MQ58)</f>
        <v/>
      </c>
      <c r="MS58">
        <f>MAX(0,MR58*(1+$E$32)-$F$32)</f>
        <v/>
      </c>
      <c r="MT58">
        <f>MT57-MIN(MT57,MS58)</f>
        <v/>
      </c>
      <c r="MU58">
        <f>MS58-(MT57-MT58)</f>
        <v/>
      </c>
      <c r="MV58">
        <f>MAX(0,MU58*(1+$E$32)-$F$32)</f>
        <v/>
      </c>
      <c r="MW58">
        <f>MW57-MIN(MW57,MV58)</f>
        <v/>
      </c>
      <c r="MX58">
        <f>MV58-(MW57-MW58)</f>
        <v/>
      </c>
    </row>
    <row r="59">
      <c r="A59" t="inlineStr">
        <is>
          <t>slot 10</t>
        </is>
      </c>
      <c r="B59">
        <f>D33</f>
        <v/>
      </c>
      <c r="C59">
        <f>MAX(0,B59*(1+$E$33)-$F$33)</f>
        <v/>
      </c>
      <c r="D59">
        <f>D58-MIN(D58,C59)</f>
        <v/>
      </c>
      <c r="E59">
        <f>C59-(D58-D59)</f>
        <v/>
      </c>
      <c r="F59">
        <f>MAX(0,E59*(1+$E$33)-$F$33)</f>
        <v/>
      </c>
      <c r="G59">
        <f>G58-MIN(G58,F59)</f>
        <v/>
      </c>
      <c r="H59">
        <f>F59-(G58-G59)</f>
        <v/>
      </c>
      <c r="I59">
        <f>MAX(0,H59*(1+$E$33)-$F$33)</f>
        <v/>
      </c>
      <c r="J59">
        <f>J58-MIN(J58,I59)</f>
        <v/>
      </c>
      <c r="K59">
        <f>I59-(J58-J59)</f>
        <v/>
      </c>
      <c r="L59">
        <f>MAX(0,K59*(1+$E$33)-$F$33)</f>
        <v/>
      </c>
      <c r="M59">
        <f>M58-MIN(M58,L59)</f>
        <v/>
      </c>
      <c r="N59">
        <f>L59-(M58-M59)</f>
        <v/>
      </c>
      <c r="O59">
        <f>MAX(0,N59*(1+$E$33)-$F$33)</f>
        <v/>
      </c>
      <c r="P59">
        <f>P58-MIN(P58,O59)</f>
        <v/>
      </c>
      <c r="Q59">
        <f>O59-(P58-P59)</f>
        <v/>
      </c>
      <c r="R59">
        <f>MAX(0,Q59*(1+$E$33)-$F$33)</f>
        <v/>
      </c>
      <c r="S59">
        <f>S58-MIN(S58,R59)</f>
        <v/>
      </c>
      <c r="T59">
        <f>R59-(S58-S59)</f>
        <v/>
      </c>
      <c r="U59">
        <f>MAX(0,T59*(1+$E$33)-$F$33)</f>
        <v/>
      </c>
      <c r="V59">
        <f>V58-MIN(V58,U59)</f>
        <v/>
      </c>
      <c r="W59">
        <f>U59-(V58-V59)</f>
        <v/>
      </c>
      <c r="X59">
        <f>MAX(0,W59*(1+$E$33)-$F$33)</f>
        <v/>
      </c>
      <c r="Y59">
        <f>Y58-MIN(Y58,X59)</f>
        <v/>
      </c>
      <c r="Z59">
        <f>X59-(Y58-Y59)</f>
        <v/>
      </c>
      <c r="AA59">
        <f>MAX(0,Z59*(1+$E$33)-$F$33)</f>
        <v/>
      </c>
      <c r="AB59">
        <f>AB58-MIN(AB58,AA59)</f>
        <v/>
      </c>
      <c r="AC59">
        <f>AA59-(AB58-AB59)</f>
        <v/>
      </c>
      <c r="AD59">
        <f>MAX(0,AC59*(1+$E$33)-$F$33)</f>
        <v/>
      </c>
      <c r="AE59">
        <f>AE58-MIN(AE58,AD59)</f>
        <v/>
      </c>
      <c r="AF59">
        <f>AD59-(AE58-AE59)</f>
        <v/>
      </c>
      <c r="AG59">
        <f>MAX(0,AF59*(1+$E$33)-$F$33)</f>
        <v/>
      </c>
      <c r="AH59">
        <f>AH58-MIN(AH58,AG59)</f>
        <v/>
      </c>
      <c r="AI59">
        <f>AG59-(AH58-AH59)</f>
        <v/>
      </c>
      <c r="AJ59">
        <f>MAX(0,AI59*(1+$E$33)-$F$33)</f>
        <v/>
      </c>
      <c r="AK59">
        <f>AK58-MIN(AK58,AJ59)</f>
        <v/>
      </c>
      <c r="AL59">
        <f>AJ59-(AK58-AK59)</f>
        <v/>
      </c>
      <c r="AM59">
        <f>MAX(0,AL59*(1+$E$33)-$F$33)</f>
        <v/>
      </c>
      <c r="AN59">
        <f>AN58-MIN(AN58,AM59)</f>
        <v/>
      </c>
      <c r="AO59">
        <f>AM59-(AN58-AN59)</f>
        <v/>
      </c>
      <c r="AP59">
        <f>MAX(0,AO59*(1+$E$33)-$F$33)</f>
        <v/>
      </c>
      <c r="AQ59">
        <f>AQ58-MIN(AQ58,AP59)</f>
        <v/>
      </c>
      <c r="AR59">
        <f>AP59-(AQ58-AQ59)</f>
        <v/>
      </c>
      <c r="AS59">
        <f>MAX(0,AR59*(1+$E$33)-$F$33)</f>
        <v/>
      </c>
      <c r="AT59">
        <f>AT58-MIN(AT58,AS59)</f>
        <v/>
      </c>
      <c r="AU59">
        <f>AS59-(AT58-AT59)</f>
        <v/>
      </c>
      <c r="AV59">
        <f>MAX(0,AU59*(1+$E$33)-$F$33)</f>
        <v/>
      </c>
      <c r="AW59">
        <f>AW58-MIN(AW58,AV59)</f>
        <v/>
      </c>
      <c r="AX59">
        <f>AV59-(AW58-AW59)</f>
        <v/>
      </c>
      <c r="AY59">
        <f>MAX(0,AX59*(1+$E$33)-$F$33)</f>
        <v/>
      </c>
      <c r="AZ59">
        <f>AZ58-MIN(AZ58,AY59)</f>
        <v/>
      </c>
      <c r="BA59">
        <f>AY59-(AZ58-AZ59)</f>
        <v/>
      </c>
      <c r="BB59">
        <f>MAX(0,BA59*(1+$E$33)-$F$33)</f>
        <v/>
      </c>
      <c r="BC59">
        <f>BC58-MIN(BC58,BB59)</f>
        <v/>
      </c>
      <c r="BD59">
        <f>BB59-(BC58-BC59)</f>
        <v/>
      </c>
      <c r="BE59">
        <f>MAX(0,BD59*(1+$E$33)-$F$33)</f>
        <v/>
      </c>
      <c r="BF59">
        <f>BF58-MIN(BF58,BE59)</f>
        <v/>
      </c>
      <c r="BG59">
        <f>BE59-(BF58-BF59)</f>
        <v/>
      </c>
      <c r="BH59">
        <f>MAX(0,BG59*(1+$E$33)-$F$33)</f>
        <v/>
      </c>
      <c r="BI59">
        <f>BI58-MIN(BI58,BH59)</f>
        <v/>
      </c>
      <c r="BJ59">
        <f>BH59-(BI58-BI59)</f>
        <v/>
      </c>
      <c r="BK59">
        <f>MAX(0,BJ59*(1+$E$33)-$F$33)</f>
        <v/>
      </c>
      <c r="BL59">
        <f>BL58-MIN(BL58,BK59)</f>
        <v/>
      </c>
      <c r="BM59">
        <f>BK59-(BL58-BL59)</f>
        <v/>
      </c>
      <c r="BN59">
        <f>MAX(0,BM59*(1+$E$33)-$F$33)</f>
        <v/>
      </c>
      <c r="BO59">
        <f>BO58-MIN(BO58,BN59)</f>
        <v/>
      </c>
      <c r="BP59">
        <f>BN59-(BO58-BO59)</f>
        <v/>
      </c>
      <c r="BQ59">
        <f>MAX(0,BP59*(1+$E$33)-$F$33)</f>
        <v/>
      </c>
      <c r="BR59">
        <f>BR58-MIN(BR58,BQ59)</f>
        <v/>
      </c>
      <c r="BS59">
        <f>BQ59-(BR58-BR59)</f>
        <v/>
      </c>
      <c r="BT59">
        <f>MAX(0,BS59*(1+$E$33)-$F$33)</f>
        <v/>
      </c>
      <c r="BU59">
        <f>BU58-MIN(BU58,BT59)</f>
        <v/>
      </c>
      <c r="BV59">
        <f>BT59-(BU58-BU59)</f>
        <v/>
      </c>
      <c r="BW59">
        <f>MAX(0,BV59*(1+$E$33)-$F$33)</f>
        <v/>
      </c>
      <c r="BX59">
        <f>BX58-MIN(BX58,BW59)</f>
        <v/>
      </c>
      <c r="BY59">
        <f>BW59-(BX58-BX59)</f>
        <v/>
      </c>
      <c r="BZ59">
        <f>MAX(0,BY59*(1+$E$33)-$F$33)</f>
        <v/>
      </c>
      <c r="CA59">
        <f>CA58-MIN(CA58,BZ59)</f>
        <v/>
      </c>
      <c r="CB59">
        <f>BZ59-(CA58-CA59)</f>
        <v/>
      </c>
      <c r="CC59">
        <f>MAX(0,CB59*(1+$E$33)-$F$33)</f>
        <v/>
      </c>
      <c r="CD59">
        <f>CD58-MIN(CD58,CC59)</f>
        <v/>
      </c>
      <c r="CE59">
        <f>CC59-(CD58-CD59)</f>
        <v/>
      </c>
      <c r="CF59">
        <f>MAX(0,CE59*(1+$E$33)-$F$33)</f>
        <v/>
      </c>
      <c r="CG59">
        <f>CG58-MIN(CG58,CF59)</f>
        <v/>
      </c>
      <c r="CH59">
        <f>CF59-(CG58-CG59)</f>
        <v/>
      </c>
      <c r="CI59">
        <f>MAX(0,CH59*(1+$E$33)-$F$33)</f>
        <v/>
      </c>
      <c r="CJ59">
        <f>CJ58-MIN(CJ58,CI59)</f>
        <v/>
      </c>
      <c r="CK59">
        <f>CI59-(CJ58-CJ59)</f>
        <v/>
      </c>
      <c r="CL59">
        <f>MAX(0,CK59*(1+$E$33)-$F$33)</f>
        <v/>
      </c>
      <c r="CM59">
        <f>CM58-MIN(CM58,CL59)</f>
        <v/>
      </c>
      <c r="CN59">
        <f>CL59-(CM58-CM59)</f>
        <v/>
      </c>
      <c r="CO59">
        <f>MAX(0,CN59*(1+$E$33)-$F$33)</f>
        <v/>
      </c>
      <c r="CP59">
        <f>CP58-MIN(CP58,CO59)</f>
        <v/>
      </c>
      <c r="CQ59">
        <f>CO59-(CP58-CP59)</f>
        <v/>
      </c>
      <c r="CR59">
        <f>MAX(0,CQ59*(1+$E$33)-$F$33)</f>
        <v/>
      </c>
      <c r="CS59">
        <f>CS58-MIN(CS58,CR59)</f>
        <v/>
      </c>
      <c r="CT59">
        <f>CR59-(CS58-CS59)</f>
        <v/>
      </c>
      <c r="CU59">
        <f>MAX(0,CT59*(1+$E$33)-$F$33)</f>
        <v/>
      </c>
      <c r="CV59">
        <f>CV58-MIN(CV58,CU59)</f>
        <v/>
      </c>
      <c r="CW59">
        <f>CU59-(CV58-CV59)</f>
        <v/>
      </c>
      <c r="CX59">
        <f>MAX(0,CW59*(1+$E$33)-$F$33)</f>
        <v/>
      </c>
      <c r="CY59">
        <f>CY58-MIN(CY58,CX59)</f>
        <v/>
      </c>
      <c r="CZ59">
        <f>CX59-(CY58-CY59)</f>
        <v/>
      </c>
      <c r="DA59">
        <f>MAX(0,CZ59*(1+$E$33)-$F$33)</f>
        <v/>
      </c>
      <c r="DB59">
        <f>DB58-MIN(DB58,DA59)</f>
        <v/>
      </c>
      <c r="DC59">
        <f>DA59-(DB58-DB59)</f>
        <v/>
      </c>
      <c r="DD59">
        <f>MAX(0,DC59*(1+$E$33)-$F$33)</f>
        <v/>
      </c>
      <c r="DE59">
        <f>DE58-MIN(DE58,DD59)</f>
        <v/>
      </c>
      <c r="DF59">
        <f>DD59-(DE58-DE59)</f>
        <v/>
      </c>
      <c r="DG59">
        <f>MAX(0,DF59*(1+$E$33)-$F$33)</f>
        <v/>
      </c>
      <c r="DH59">
        <f>DH58-MIN(DH58,DG59)</f>
        <v/>
      </c>
      <c r="DI59">
        <f>DG59-(DH58-DH59)</f>
        <v/>
      </c>
      <c r="DJ59">
        <f>MAX(0,DI59*(1+$E$33)-$F$33)</f>
        <v/>
      </c>
      <c r="DK59">
        <f>DK58-MIN(DK58,DJ59)</f>
        <v/>
      </c>
      <c r="DL59">
        <f>DJ59-(DK58-DK59)</f>
        <v/>
      </c>
      <c r="DM59">
        <f>MAX(0,DL59*(1+$E$33)-$F$33)</f>
        <v/>
      </c>
      <c r="DN59">
        <f>DN58-MIN(DN58,DM59)</f>
        <v/>
      </c>
      <c r="DO59">
        <f>DM59-(DN58-DN59)</f>
        <v/>
      </c>
      <c r="DP59">
        <f>MAX(0,DO59*(1+$E$33)-$F$33)</f>
        <v/>
      </c>
      <c r="DQ59">
        <f>DQ58-MIN(DQ58,DP59)</f>
        <v/>
      </c>
      <c r="DR59">
        <f>DP59-(DQ58-DQ59)</f>
        <v/>
      </c>
      <c r="DS59">
        <f>MAX(0,DR59*(1+$E$33)-$F$33)</f>
        <v/>
      </c>
      <c r="DT59">
        <f>DT58-MIN(DT58,DS59)</f>
        <v/>
      </c>
      <c r="DU59">
        <f>DS59-(DT58-DT59)</f>
        <v/>
      </c>
      <c r="DV59">
        <f>MAX(0,DU59*(1+$E$33)-$F$33)</f>
        <v/>
      </c>
      <c r="DW59">
        <f>DW58-MIN(DW58,DV59)</f>
        <v/>
      </c>
      <c r="DX59">
        <f>DV59-(DW58-DW59)</f>
        <v/>
      </c>
      <c r="DY59">
        <f>MAX(0,DX59*(1+$E$33)-$F$33)</f>
        <v/>
      </c>
      <c r="DZ59">
        <f>DZ58-MIN(DZ58,DY59)</f>
        <v/>
      </c>
      <c r="EA59">
        <f>DY59-(DZ58-DZ59)</f>
        <v/>
      </c>
      <c r="EB59">
        <f>MAX(0,EA59*(1+$E$33)-$F$33)</f>
        <v/>
      </c>
      <c r="EC59">
        <f>EC58-MIN(EC58,EB59)</f>
        <v/>
      </c>
      <c r="ED59">
        <f>EB59-(EC58-EC59)</f>
        <v/>
      </c>
      <c r="EE59">
        <f>MAX(0,ED59*(1+$E$33)-$F$33)</f>
        <v/>
      </c>
      <c r="EF59">
        <f>EF58-MIN(EF58,EE59)</f>
        <v/>
      </c>
      <c r="EG59">
        <f>EE59-(EF58-EF59)</f>
        <v/>
      </c>
      <c r="EH59">
        <f>MAX(0,EG59*(1+$E$33)-$F$33)</f>
        <v/>
      </c>
      <c r="EI59">
        <f>EI58-MIN(EI58,EH59)</f>
        <v/>
      </c>
      <c r="EJ59">
        <f>EH59-(EI58-EI59)</f>
        <v/>
      </c>
      <c r="EK59">
        <f>MAX(0,EJ59*(1+$E$33)-$F$33)</f>
        <v/>
      </c>
      <c r="EL59">
        <f>EL58-MIN(EL58,EK59)</f>
        <v/>
      </c>
      <c r="EM59">
        <f>EK59-(EL58-EL59)</f>
        <v/>
      </c>
      <c r="EN59">
        <f>MAX(0,EM59*(1+$E$33)-$F$33)</f>
        <v/>
      </c>
      <c r="EO59">
        <f>EO58-MIN(EO58,EN59)</f>
        <v/>
      </c>
      <c r="EP59">
        <f>EN59-(EO58-EO59)</f>
        <v/>
      </c>
      <c r="EQ59">
        <f>MAX(0,EP59*(1+$E$33)-$F$33)</f>
        <v/>
      </c>
      <c r="ER59">
        <f>ER58-MIN(ER58,EQ59)</f>
        <v/>
      </c>
      <c r="ES59">
        <f>EQ59-(ER58-ER59)</f>
        <v/>
      </c>
      <c r="ET59">
        <f>MAX(0,ES59*(1+$E$33)-$F$33)</f>
        <v/>
      </c>
      <c r="EU59">
        <f>EU58-MIN(EU58,ET59)</f>
        <v/>
      </c>
      <c r="EV59">
        <f>ET59-(EU58-EU59)</f>
        <v/>
      </c>
      <c r="EW59">
        <f>MAX(0,EV59*(1+$E$33)-$F$33)</f>
        <v/>
      </c>
      <c r="EX59">
        <f>EX58-MIN(EX58,EW59)</f>
        <v/>
      </c>
      <c r="EY59">
        <f>EW59-(EX58-EX59)</f>
        <v/>
      </c>
      <c r="EZ59">
        <f>MAX(0,EY59*(1+$E$33)-$F$33)</f>
        <v/>
      </c>
      <c r="FA59">
        <f>FA58-MIN(FA58,EZ59)</f>
        <v/>
      </c>
      <c r="FB59">
        <f>EZ59-(FA58-FA59)</f>
        <v/>
      </c>
      <c r="FC59">
        <f>MAX(0,FB59*(1+$E$33)-$F$33)</f>
        <v/>
      </c>
      <c r="FD59">
        <f>FD58-MIN(FD58,FC59)</f>
        <v/>
      </c>
      <c r="FE59">
        <f>FC59-(FD58-FD59)</f>
        <v/>
      </c>
      <c r="FF59">
        <f>MAX(0,FE59*(1+$E$33)-$F$33)</f>
        <v/>
      </c>
      <c r="FG59">
        <f>FG58-MIN(FG58,FF59)</f>
        <v/>
      </c>
      <c r="FH59">
        <f>FF59-(FG58-FG59)</f>
        <v/>
      </c>
      <c r="FI59">
        <f>MAX(0,FH59*(1+$E$33)-$F$33)</f>
        <v/>
      </c>
      <c r="FJ59">
        <f>FJ58-MIN(FJ58,FI59)</f>
        <v/>
      </c>
      <c r="FK59">
        <f>FI59-(FJ58-FJ59)</f>
        <v/>
      </c>
      <c r="FL59">
        <f>MAX(0,FK59*(1+$E$33)-$F$33)</f>
        <v/>
      </c>
      <c r="FM59">
        <f>FM58-MIN(FM58,FL59)</f>
        <v/>
      </c>
      <c r="FN59">
        <f>FL59-(FM58-FM59)</f>
        <v/>
      </c>
      <c r="FO59">
        <f>MAX(0,FN59*(1+$E$33)-$F$33)</f>
        <v/>
      </c>
      <c r="FP59">
        <f>FP58-MIN(FP58,FO59)</f>
        <v/>
      </c>
      <c r="FQ59">
        <f>FO59-(FP58-FP59)</f>
        <v/>
      </c>
      <c r="FR59">
        <f>MAX(0,FQ59*(1+$E$33)-$F$33)</f>
        <v/>
      </c>
      <c r="FS59">
        <f>FS58-MIN(FS58,FR59)</f>
        <v/>
      </c>
      <c r="FT59">
        <f>FR59-(FS58-FS59)</f>
        <v/>
      </c>
      <c r="FU59">
        <f>MAX(0,FT59*(1+$E$33)-$F$33)</f>
        <v/>
      </c>
      <c r="FV59">
        <f>FV58-MIN(FV58,FU59)</f>
        <v/>
      </c>
      <c r="FW59">
        <f>FU59-(FV58-FV59)</f>
        <v/>
      </c>
      <c r="FX59">
        <f>MAX(0,FW59*(1+$E$33)-$F$33)</f>
        <v/>
      </c>
      <c r="FY59">
        <f>FY58-MIN(FY58,FX59)</f>
        <v/>
      </c>
      <c r="FZ59">
        <f>FX59-(FY58-FY59)</f>
        <v/>
      </c>
      <c r="GA59">
        <f>MAX(0,FZ59*(1+$E$33)-$F$33)</f>
        <v/>
      </c>
      <c r="GB59">
        <f>GB58-MIN(GB58,GA59)</f>
        <v/>
      </c>
      <c r="GC59">
        <f>GA59-(GB58-GB59)</f>
        <v/>
      </c>
      <c r="GD59">
        <f>MAX(0,GC59*(1+$E$33)-$F$33)</f>
        <v/>
      </c>
      <c r="GE59">
        <f>GE58-MIN(GE58,GD59)</f>
        <v/>
      </c>
      <c r="GF59">
        <f>GD59-(GE58-GE59)</f>
        <v/>
      </c>
      <c r="GG59">
        <f>MAX(0,GF59*(1+$E$33)-$F$33)</f>
        <v/>
      </c>
      <c r="GH59">
        <f>GH58-MIN(GH58,GG59)</f>
        <v/>
      </c>
      <c r="GI59">
        <f>GG59-(GH58-GH59)</f>
        <v/>
      </c>
      <c r="GJ59">
        <f>MAX(0,GI59*(1+$E$33)-$F$33)</f>
        <v/>
      </c>
      <c r="GK59">
        <f>GK58-MIN(GK58,GJ59)</f>
        <v/>
      </c>
      <c r="GL59">
        <f>GJ59-(GK58-GK59)</f>
        <v/>
      </c>
      <c r="GM59">
        <f>MAX(0,GL59*(1+$E$33)-$F$33)</f>
        <v/>
      </c>
      <c r="GN59">
        <f>GN58-MIN(GN58,GM59)</f>
        <v/>
      </c>
      <c r="GO59">
        <f>GM59-(GN58-GN59)</f>
        <v/>
      </c>
      <c r="GP59">
        <f>MAX(0,GO59*(1+$E$33)-$F$33)</f>
        <v/>
      </c>
      <c r="GQ59">
        <f>GQ58-MIN(GQ58,GP59)</f>
        <v/>
      </c>
      <c r="GR59">
        <f>GP59-(GQ58-GQ59)</f>
        <v/>
      </c>
      <c r="GS59">
        <f>MAX(0,GR59*(1+$E$33)-$F$33)</f>
        <v/>
      </c>
      <c r="GT59">
        <f>GT58-MIN(GT58,GS59)</f>
        <v/>
      </c>
      <c r="GU59">
        <f>GS59-(GT58-GT59)</f>
        <v/>
      </c>
      <c r="GV59">
        <f>MAX(0,GU59*(1+$E$33)-$F$33)</f>
        <v/>
      </c>
      <c r="GW59">
        <f>GW58-MIN(GW58,GV59)</f>
        <v/>
      </c>
      <c r="GX59">
        <f>GV59-(GW58-GW59)</f>
        <v/>
      </c>
      <c r="GY59">
        <f>MAX(0,GX59*(1+$E$33)-$F$33)</f>
        <v/>
      </c>
      <c r="GZ59">
        <f>GZ58-MIN(GZ58,GY59)</f>
        <v/>
      </c>
      <c r="HA59">
        <f>GY59-(GZ58-GZ59)</f>
        <v/>
      </c>
      <c r="HB59">
        <f>MAX(0,HA59*(1+$E$33)-$F$33)</f>
        <v/>
      </c>
      <c r="HC59">
        <f>HC58-MIN(HC58,HB59)</f>
        <v/>
      </c>
      <c r="HD59">
        <f>HB59-(HC58-HC59)</f>
        <v/>
      </c>
      <c r="HE59">
        <f>MAX(0,HD59*(1+$E$33)-$F$33)</f>
        <v/>
      </c>
      <c r="HF59">
        <f>HF58-MIN(HF58,HE59)</f>
        <v/>
      </c>
      <c r="HG59">
        <f>HE59-(HF58-HF59)</f>
        <v/>
      </c>
      <c r="HH59">
        <f>MAX(0,HG59*(1+$E$33)-$F$33)</f>
        <v/>
      </c>
      <c r="HI59">
        <f>HI58-MIN(HI58,HH59)</f>
        <v/>
      </c>
      <c r="HJ59">
        <f>HH59-(HI58-HI59)</f>
        <v/>
      </c>
      <c r="HK59">
        <f>MAX(0,HJ59*(1+$E$33)-$F$33)</f>
        <v/>
      </c>
      <c r="HL59">
        <f>HL58-MIN(HL58,HK59)</f>
        <v/>
      </c>
      <c r="HM59">
        <f>HK59-(HL58-HL59)</f>
        <v/>
      </c>
      <c r="HN59">
        <f>MAX(0,HM59*(1+$E$33)-$F$33)</f>
        <v/>
      </c>
      <c r="HO59">
        <f>HO58-MIN(HO58,HN59)</f>
        <v/>
      </c>
      <c r="HP59">
        <f>HN59-(HO58-HO59)</f>
        <v/>
      </c>
      <c r="HQ59">
        <f>MAX(0,HP59*(1+$E$33)-$F$33)</f>
        <v/>
      </c>
      <c r="HR59">
        <f>HR58-MIN(HR58,HQ59)</f>
        <v/>
      </c>
      <c r="HS59">
        <f>HQ59-(HR58-HR59)</f>
        <v/>
      </c>
      <c r="HT59">
        <f>MAX(0,HS59*(1+$E$33)-$F$33)</f>
        <v/>
      </c>
      <c r="HU59">
        <f>HU58-MIN(HU58,HT59)</f>
        <v/>
      </c>
      <c r="HV59">
        <f>HT59-(HU58-HU59)</f>
        <v/>
      </c>
      <c r="HW59">
        <f>MAX(0,HV59*(1+$E$33)-$F$33)</f>
        <v/>
      </c>
      <c r="HX59">
        <f>HX58-MIN(HX58,HW59)</f>
        <v/>
      </c>
      <c r="HY59">
        <f>HW59-(HX58-HX59)</f>
        <v/>
      </c>
      <c r="HZ59">
        <f>MAX(0,HY59*(1+$E$33)-$F$33)</f>
        <v/>
      </c>
      <c r="IA59">
        <f>IA58-MIN(IA58,HZ59)</f>
        <v/>
      </c>
      <c r="IB59">
        <f>HZ59-(IA58-IA59)</f>
        <v/>
      </c>
      <c r="IC59">
        <f>MAX(0,IB59*(1+$E$33)-$F$33)</f>
        <v/>
      </c>
      <c r="ID59">
        <f>ID58-MIN(ID58,IC59)</f>
        <v/>
      </c>
      <c r="IE59">
        <f>IC59-(ID58-ID59)</f>
        <v/>
      </c>
      <c r="IF59">
        <f>MAX(0,IE59*(1+$E$33)-$F$33)</f>
        <v/>
      </c>
      <c r="IG59">
        <f>IG58-MIN(IG58,IF59)</f>
        <v/>
      </c>
      <c r="IH59">
        <f>IF59-(IG58-IG59)</f>
        <v/>
      </c>
      <c r="II59">
        <f>MAX(0,IH59*(1+$E$33)-$F$33)</f>
        <v/>
      </c>
      <c r="IJ59">
        <f>IJ58-MIN(IJ58,II59)</f>
        <v/>
      </c>
      <c r="IK59">
        <f>II59-(IJ58-IJ59)</f>
        <v/>
      </c>
      <c r="IL59">
        <f>MAX(0,IK59*(1+$E$33)-$F$33)</f>
        <v/>
      </c>
      <c r="IM59">
        <f>IM58-MIN(IM58,IL59)</f>
        <v/>
      </c>
      <c r="IN59">
        <f>IL59-(IM58-IM59)</f>
        <v/>
      </c>
      <c r="IO59">
        <f>MAX(0,IN59*(1+$E$33)-$F$33)</f>
        <v/>
      </c>
      <c r="IP59">
        <f>IP58-MIN(IP58,IO59)</f>
        <v/>
      </c>
      <c r="IQ59">
        <f>IO59-(IP58-IP59)</f>
        <v/>
      </c>
      <c r="IR59">
        <f>MAX(0,IQ59*(1+$E$33)-$F$33)</f>
        <v/>
      </c>
      <c r="IS59">
        <f>IS58-MIN(IS58,IR59)</f>
        <v/>
      </c>
      <c r="IT59">
        <f>IR59-(IS58-IS59)</f>
        <v/>
      </c>
      <c r="IU59">
        <f>MAX(0,IT59*(1+$E$33)-$F$33)</f>
        <v/>
      </c>
      <c r="IV59">
        <f>IV58-MIN(IV58,IU59)</f>
        <v/>
      </c>
      <c r="IW59">
        <f>IU59-(IV58-IV59)</f>
        <v/>
      </c>
      <c r="IX59">
        <f>MAX(0,IW59*(1+$E$33)-$F$33)</f>
        <v/>
      </c>
      <c r="IY59">
        <f>IY58-MIN(IY58,IX59)</f>
        <v/>
      </c>
      <c r="IZ59">
        <f>IX59-(IY58-IY59)</f>
        <v/>
      </c>
      <c r="JA59">
        <f>MAX(0,IZ59*(1+$E$33)-$F$33)</f>
        <v/>
      </c>
      <c r="JB59">
        <f>JB58-MIN(JB58,JA59)</f>
        <v/>
      </c>
      <c r="JC59">
        <f>JA59-(JB58-JB59)</f>
        <v/>
      </c>
      <c r="JD59">
        <f>MAX(0,JC59*(1+$E$33)-$F$33)</f>
        <v/>
      </c>
      <c r="JE59">
        <f>JE58-MIN(JE58,JD59)</f>
        <v/>
      </c>
      <c r="JF59">
        <f>JD59-(JE58-JE59)</f>
        <v/>
      </c>
      <c r="JG59">
        <f>MAX(0,JF59*(1+$E$33)-$F$33)</f>
        <v/>
      </c>
      <c r="JH59">
        <f>JH58-MIN(JH58,JG59)</f>
        <v/>
      </c>
      <c r="JI59">
        <f>JG59-(JH58-JH59)</f>
        <v/>
      </c>
      <c r="JJ59">
        <f>MAX(0,JI59*(1+$E$33)-$F$33)</f>
        <v/>
      </c>
      <c r="JK59">
        <f>JK58-MIN(JK58,JJ59)</f>
        <v/>
      </c>
      <c r="JL59">
        <f>JJ59-(JK58-JK59)</f>
        <v/>
      </c>
      <c r="JM59">
        <f>MAX(0,JL59*(1+$E$33)-$F$33)</f>
        <v/>
      </c>
      <c r="JN59">
        <f>JN58-MIN(JN58,JM59)</f>
        <v/>
      </c>
      <c r="JO59">
        <f>JM59-(JN58-JN59)</f>
        <v/>
      </c>
      <c r="JP59">
        <f>MAX(0,JO59*(1+$E$33)-$F$33)</f>
        <v/>
      </c>
      <c r="JQ59">
        <f>JQ58-MIN(JQ58,JP59)</f>
        <v/>
      </c>
      <c r="JR59">
        <f>JP59-(JQ58-JQ59)</f>
        <v/>
      </c>
      <c r="JS59">
        <f>MAX(0,JR59*(1+$E$33)-$F$33)</f>
        <v/>
      </c>
      <c r="JT59">
        <f>JT58-MIN(JT58,JS59)</f>
        <v/>
      </c>
      <c r="JU59">
        <f>JS59-(JT58-JT59)</f>
        <v/>
      </c>
      <c r="JV59">
        <f>MAX(0,JU59*(1+$E$33)-$F$33)</f>
        <v/>
      </c>
      <c r="JW59">
        <f>JW58-MIN(JW58,JV59)</f>
        <v/>
      </c>
      <c r="JX59">
        <f>JV59-(JW58-JW59)</f>
        <v/>
      </c>
      <c r="JY59">
        <f>MAX(0,JX59*(1+$E$33)-$F$33)</f>
        <v/>
      </c>
      <c r="JZ59">
        <f>JZ58-MIN(JZ58,JY59)</f>
        <v/>
      </c>
      <c r="KA59">
        <f>JY59-(JZ58-JZ59)</f>
        <v/>
      </c>
      <c r="KB59">
        <f>MAX(0,KA59*(1+$E$33)-$F$33)</f>
        <v/>
      </c>
      <c r="KC59">
        <f>KC58-MIN(KC58,KB59)</f>
        <v/>
      </c>
      <c r="KD59">
        <f>KB59-(KC58-KC59)</f>
        <v/>
      </c>
      <c r="KE59">
        <f>MAX(0,KD59*(1+$E$33)-$F$33)</f>
        <v/>
      </c>
      <c r="KF59">
        <f>KF58-MIN(KF58,KE59)</f>
        <v/>
      </c>
      <c r="KG59">
        <f>KE59-(KF58-KF59)</f>
        <v/>
      </c>
      <c r="KH59">
        <f>MAX(0,KG59*(1+$E$33)-$F$33)</f>
        <v/>
      </c>
      <c r="KI59">
        <f>KI58-MIN(KI58,KH59)</f>
        <v/>
      </c>
      <c r="KJ59">
        <f>KH59-(KI58-KI59)</f>
        <v/>
      </c>
      <c r="KK59">
        <f>MAX(0,KJ59*(1+$E$33)-$F$33)</f>
        <v/>
      </c>
      <c r="KL59">
        <f>KL58-MIN(KL58,KK59)</f>
        <v/>
      </c>
      <c r="KM59">
        <f>KK59-(KL58-KL59)</f>
        <v/>
      </c>
      <c r="KN59">
        <f>MAX(0,KM59*(1+$E$33)-$F$33)</f>
        <v/>
      </c>
      <c r="KO59">
        <f>KO58-MIN(KO58,KN59)</f>
        <v/>
      </c>
      <c r="KP59">
        <f>KN59-(KO58-KO59)</f>
        <v/>
      </c>
      <c r="KQ59">
        <f>MAX(0,KP59*(1+$E$33)-$F$33)</f>
        <v/>
      </c>
      <c r="KR59">
        <f>KR58-MIN(KR58,KQ59)</f>
        <v/>
      </c>
      <c r="KS59">
        <f>KQ59-(KR58-KR59)</f>
        <v/>
      </c>
      <c r="KT59">
        <f>MAX(0,KS59*(1+$E$33)-$F$33)</f>
        <v/>
      </c>
      <c r="KU59">
        <f>KU58-MIN(KU58,KT59)</f>
        <v/>
      </c>
      <c r="KV59">
        <f>KT59-(KU58-KU59)</f>
        <v/>
      </c>
      <c r="KW59">
        <f>MAX(0,KV59*(1+$E$33)-$F$33)</f>
        <v/>
      </c>
      <c r="KX59">
        <f>KX58-MIN(KX58,KW59)</f>
        <v/>
      </c>
      <c r="KY59">
        <f>KW59-(KX58-KX59)</f>
        <v/>
      </c>
      <c r="KZ59">
        <f>MAX(0,KY59*(1+$E$33)-$F$33)</f>
        <v/>
      </c>
      <c r="LA59">
        <f>LA58-MIN(LA58,KZ59)</f>
        <v/>
      </c>
      <c r="LB59">
        <f>KZ59-(LA58-LA59)</f>
        <v/>
      </c>
      <c r="LC59">
        <f>MAX(0,LB59*(1+$E$33)-$F$33)</f>
        <v/>
      </c>
      <c r="LD59">
        <f>LD58-MIN(LD58,LC59)</f>
        <v/>
      </c>
      <c r="LE59">
        <f>LC59-(LD58-LD59)</f>
        <v/>
      </c>
      <c r="LF59">
        <f>MAX(0,LE59*(1+$E$33)-$F$33)</f>
        <v/>
      </c>
      <c r="LG59">
        <f>LG58-MIN(LG58,LF59)</f>
        <v/>
      </c>
      <c r="LH59">
        <f>LF59-(LG58-LG59)</f>
        <v/>
      </c>
      <c r="LI59">
        <f>MAX(0,LH59*(1+$E$33)-$F$33)</f>
        <v/>
      </c>
      <c r="LJ59">
        <f>LJ58-MIN(LJ58,LI59)</f>
        <v/>
      </c>
      <c r="LK59">
        <f>LI59-(LJ58-LJ59)</f>
        <v/>
      </c>
      <c r="LL59">
        <f>MAX(0,LK59*(1+$E$33)-$F$33)</f>
        <v/>
      </c>
      <c r="LM59">
        <f>LM58-MIN(LM58,LL59)</f>
        <v/>
      </c>
      <c r="LN59">
        <f>LL59-(LM58-LM59)</f>
        <v/>
      </c>
      <c r="LO59">
        <f>MAX(0,LN59*(1+$E$33)-$F$33)</f>
        <v/>
      </c>
      <c r="LP59">
        <f>LP58-MIN(LP58,LO59)</f>
        <v/>
      </c>
      <c r="LQ59">
        <f>LO59-(LP58-LP59)</f>
        <v/>
      </c>
      <c r="LR59">
        <f>MAX(0,LQ59*(1+$E$33)-$F$33)</f>
        <v/>
      </c>
      <c r="LS59">
        <f>LS58-MIN(LS58,LR59)</f>
        <v/>
      </c>
      <c r="LT59">
        <f>LR59-(LS58-LS59)</f>
        <v/>
      </c>
      <c r="LU59">
        <f>MAX(0,LT59*(1+$E$33)-$F$33)</f>
        <v/>
      </c>
      <c r="LV59">
        <f>LV58-MIN(LV58,LU59)</f>
        <v/>
      </c>
      <c r="LW59">
        <f>LU59-(LV58-LV59)</f>
        <v/>
      </c>
      <c r="LX59">
        <f>MAX(0,LW59*(1+$E$33)-$F$33)</f>
        <v/>
      </c>
      <c r="LY59">
        <f>LY58-MIN(LY58,LX59)</f>
        <v/>
      </c>
      <c r="LZ59">
        <f>LX59-(LY58-LY59)</f>
        <v/>
      </c>
      <c r="MA59">
        <f>MAX(0,LZ59*(1+$E$33)-$F$33)</f>
        <v/>
      </c>
      <c r="MB59">
        <f>MB58-MIN(MB58,MA59)</f>
        <v/>
      </c>
      <c r="MC59">
        <f>MA59-(MB58-MB59)</f>
        <v/>
      </c>
      <c r="MD59">
        <f>MAX(0,MC59*(1+$E$33)-$F$33)</f>
        <v/>
      </c>
      <c r="ME59">
        <f>ME58-MIN(ME58,MD59)</f>
        <v/>
      </c>
      <c r="MF59">
        <f>MD59-(ME58-ME59)</f>
        <v/>
      </c>
      <c r="MG59">
        <f>MAX(0,MF59*(1+$E$33)-$F$33)</f>
        <v/>
      </c>
      <c r="MH59">
        <f>MH58-MIN(MH58,MG59)</f>
        <v/>
      </c>
      <c r="MI59">
        <f>MG59-(MH58-MH59)</f>
        <v/>
      </c>
      <c r="MJ59">
        <f>MAX(0,MI59*(1+$E$33)-$F$33)</f>
        <v/>
      </c>
      <c r="MK59">
        <f>MK58-MIN(MK58,MJ59)</f>
        <v/>
      </c>
      <c r="ML59">
        <f>MJ59-(MK58-MK59)</f>
        <v/>
      </c>
      <c r="MM59">
        <f>MAX(0,ML59*(1+$E$33)-$F$33)</f>
        <v/>
      </c>
      <c r="MN59">
        <f>MN58-MIN(MN58,MM59)</f>
        <v/>
      </c>
      <c r="MO59">
        <f>MM59-(MN58-MN59)</f>
        <v/>
      </c>
      <c r="MP59">
        <f>MAX(0,MO59*(1+$E$33)-$F$33)</f>
        <v/>
      </c>
      <c r="MQ59">
        <f>MQ58-MIN(MQ58,MP59)</f>
        <v/>
      </c>
      <c r="MR59">
        <f>MP59-(MQ58-MQ59)</f>
        <v/>
      </c>
      <c r="MS59">
        <f>MAX(0,MR59*(1+$E$33)-$F$33)</f>
        <v/>
      </c>
      <c r="MT59">
        <f>MT58-MIN(MT58,MS59)</f>
        <v/>
      </c>
      <c r="MU59">
        <f>MS59-(MT58-MT59)</f>
        <v/>
      </c>
      <c r="MV59">
        <f>MAX(0,MU59*(1+$E$33)-$F$33)</f>
        <v/>
      </c>
      <c r="MW59">
        <f>MW58-MIN(MW58,MV59)</f>
        <v/>
      </c>
      <c r="MX59">
        <f>MV59-(MW58-MW59)</f>
        <v/>
      </c>
    </row>
    <row r="60">
      <c r="A60" t="inlineStr">
        <is>
          <t>slot 11</t>
        </is>
      </c>
      <c r="B60">
        <f>D34</f>
        <v/>
      </c>
      <c r="C60">
        <f>MAX(0,B60*(1+$E$34)-$F$34)</f>
        <v/>
      </c>
      <c r="D60">
        <f>D59-MIN(D59,C60)</f>
        <v/>
      </c>
      <c r="E60">
        <f>C60-(D59-D60)</f>
        <v/>
      </c>
      <c r="F60">
        <f>MAX(0,E60*(1+$E$34)-$F$34)</f>
        <v/>
      </c>
      <c r="G60">
        <f>G59-MIN(G59,F60)</f>
        <v/>
      </c>
      <c r="H60">
        <f>F60-(G59-G60)</f>
        <v/>
      </c>
      <c r="I60">
        <f>MAX(0,H60*(1+$E$34)-$F$34)</f>
        <v/>
      </c>
      <c r="J60">
        <f>J59-MIN(J59,I60)</f>
        <v/>
      </c>
      <c r="K60">
        <f>I60-(J59-J60)</f>
        <v/>
      </c>
      <c r="L60">
        <f>MAX(0,K60*(1+$E$34)-$F$34)</f>
        <v/>
      </c>
      <c r="M60">
        <f>M59-MIN(M59,L60)</f>
        <v/>
      </c>
      <c r="N60">
        <f>L60-(M59-M60)</f>
        <v/>
      </c>
      <c r="O60">
        <f>MAX(0,N60*(1+$E$34)-$F$34)</f>
        <v/>
      </c>
      <c r="P60">
        <f>P59-MIN(P59,O60)</f>
        <v/>
      </c>
      <c r="Q60">
        <f>O60-(P59-P60)</f>
        <v/>
      </c>
      <c r="R60">
        <f>MAX(0,Q60*(1+$E$34)-$F$34)</f>
        <v/>
      </c>
      <c r="S60">
        <f>S59-MIN(S59,R60)</f>
        <v/>
      </c>
      <c r="T60">
        <f>R60-(S59-S60)</f>
        <v/>
      </c>
      <c r="U60">
        <f>MAX(0,T60*(1+$E$34)-$F$34)</f>
        <v/>
      </c>
      <c r="V60">
        <f>V59-MIN(V59,U60)</f>
        <v/>
      </c>
      <c r="W60">
        <f>U60-(V59-V60)</f>
        <v/>
      </c>
      <c r="X60">
        <f>MAX(0,W60*(1+$E$34)-$F$34)</f>
        <v/>
      </c>
      <c r="Y60">
        <f>Y59-MIN(Y59,X60)</f>
        <v/>
      </c>
      <c r="Z60">
        <f>X60-(Y59-Y60)</f>
        <v/>
      </c>
      <c r="AA60">
        <f>MAX(0,Z60*(1+$E$34)-$F$34)</f>
        <v/>
      </c>
      <c r="AB60">
        <f>AB59-MIN(AB59,AA60)</f>
        <v/>
      </c>
      <c r="AC60">
        <f>AA60-(AB59-AB60)</f>
        <v/>
      </c>
      <c r="AD60">
        <f>MAX(0,AC60*(1+$E$34)-$F$34)</f>
        <v/>
      </c>
      <c r="AE60">
        <f>AE59-MIN(AE59,AD60)</f>
        <v/>
      </c>
      <c r="AF60">
        <f>AD60-(AE59-AE60)</f>
        <v/>
      </c>
      <c r="AG60">
        <f>MAX(0,AF60*(1+$E$34)-$F$34)</f>
        <v/>
      </c>
      <c r="AH60">
        <f>AH59-MIN(AH59,AG60)</f>
        <v/>
      </c>
      <c r="AI60">
        <f>AG60-(AH59-AH60)</f>
        <v/>
      </c>
      <c r="AJ60">
        <f>MAX(0,AI60*(1+$E$34)-$F$34)</f>
        <v/>
      </c>
      <c r="AK60">
        <f>AK59-MIN(AK59,AJ60)</f>
        <v/>
      </c>
      <c r="AL60">
        <f>AJ60-(AK59-AK60)</f>
        <v/>
      </c>
      <c r="AM60">
        <f>MAX(0,AL60*(1+$E$34)-$F$34)</f>
        <v/>
      </c>
      <c r="AN60">
        <f>AN59-MIN(AN59,AM60)</f>
        <v/>
      </c>
      <c r="AO60">
        <f>AM60-(AN59-AN60)</f>
        <v/>
      </c>
      <c r="AP60">
        <f>MAX(0,AO60*(1+$E$34)-$F$34)</f>
        <v/>
      </c>
      <c r="AQ60">
        <f>AQ59-MIN(AQ59,AP60)</f>
        <v/>
      </c>
      <c r="AR60">
        <f>AP60-(AQ59-AQ60)</f>
        <v/>
      </c>
      <c r="AS60">
        <f>MAX(0,AR60*(1+$E$34)-$F$34)</f>
        <v/>
      </c>
      <c r="AT60">
        <f>AT59-MIN(AT59,AS60)</f>
        <v/>
      </c>
      <c r="AU60">
        <f>AS60-(AT59-AT60)</f>
        <v/>
      </c>
      <c r="AV60">
        <f>MAX(0,AU60*(1+$E$34)-$F$34)</f>
        <v/>
      </c>
      <c r="AW60">
        <f>AW59-MIN(AW59,AV60)</f>
        <v/>
      </c>
      <c r="AX60">
        <f>AV60-(AW59-AW60)</f>
        <v/>
      </c>
      <c r="AY60">
        <f>MAX(0,AX60*(1+$E$34)-$F$34)</f>
        <v/>
      </c>
      <c r="AZ60">
        <f>AZ59-MIN(AZ59,AY60)</f>
        <v/>
      </c>
      <c r="BA60">
        <f>AY60-(AZ59-AZ60)</f>
        <v/>
      </c>
      <c r="BB60">
        <f>MAX(0,BA60*(1+$E$34)-$F$34)</f>
        <v/>
      </c>
      <c r="BC60">
        <f>BC59-MIN(BC59,BB60)</f>
        <v/>
      </c>
      <c r="BD60">
        <f>BB60-(BC59-BC60)</f>
        <v/>
      </c>
      <c r="BE60">
        <f>MAX(0,BD60*(1+$E$34)-$F$34)</f>
        <v/>
      </c>
      <c r="BF60">
        <f>BF59-MIN(BF59,BE60)</f>
        <v/>
      </c>
      <c r="BG60">
        <f>BE60-(BF59-BF60)</f>
        <v/>
      </c>
      <c r="BH60">
        <f>MAX(0,BG60*(1+$E$34)-$F$34)</f>
        <v/>
      </c>
      <c r="BI60">
        <f>BI59-MIN(BI59,BH60)</f>
        <v/>
      </c>
      <c r="BJ60">
        <f>BH60-(BI59-BI60)</f>
        <v/>
      </c>
      <c r="BK60">
        <f>MAX(0,BJ60*(1+$E$34)-$F$34)</f>
        <v/>
      </c>
      <c r="BL60">
        <f>BL59-MIN(BL59,BK60)</f>
        <v/>
      </c>
      <c r="BM60">
        <f>BK60-(BL59-BL60)</f>
        <v/>
      </c>
      <c r="BN60">
        <f>MAX(0,BM60*(1+$E$34)-$F$34)</f>
        <v/>
      </c>
      <c r="BO60">
        <f>BO59-MIN(BO59,BN60)</f>
        <v/>
      </c>
      <c r="BP60">
        <f>BN60-(BO59-BO60)</f>
        <v/>
      </c>
      <c r="BQ60">
        <f>MAX(0,BP60*(1+$E$34)-$F$34)</f>
        <v/>
      </c>
      <c r="BR60">
        <f>BR59-MIN(BR59,BQ60)</f>
        <v/>
      </c>
      <c r="BS60">
        <f>BQ60-(BR59-BR60)</f>
        <v/>
      </c>
      <c r="BT60">
        <f>MAX(0,BS60*(1+$E$34)-$F$34)</f>
        <v/>
      </c>
      <c r="BU60">
        <f>BU59-MIN(BU59,BT60)</f>
        <v/>
      </c>
      <c r="BV60">
        <f>BT60-(BU59-BU60)</f>
        <v/>
      </c>
      <c r="BW60">
        <f>MAX(0,BV60*(1+$E$34)-$F$34)</f>
        <v/>
      </c>
      <c r="BX60">
        <f>BX59-MIN(BX59,BW60)</f>
        <v/>
      </c>
      <c r="BY60">
        <f>BW60-(BX59-BX60)</f>
        <v/>
      </c>
      <c r="BZ60">
        <f>MAX(0,BY60*(1+$E$34)-$F$34)</f>
        <v/>
      </c>
      <c r="CA60">
        <f>CA59-MIN(CA59,BZ60)</f>
        <v/>
      </c>
      <c r="CB60">
        <f>BZ60-(CA59-CA60)</f>
        <v/>
      </c>
      <c r="CC60">
        <f>MAX(0,CB60*(1+$E$34)-$F$34)</f>
        <v/>
      </c>
      <c r="CD60">
        <f>CD59-MIN(CD59,CC60)</f>
        <v/>
      </c>
      <c r="CE60">
        <f>CC60-(CD59-CD60)</f>
        <v/>
      </c>
      <c r="CF60">
        <f>MAX(0,CE60*(1+$E$34)-$F$34)</f>
        <v/>
      </c>
      <c r="CG60">
        <f>CG59-MIN(CG59,CF60)</f>
        <v/>
      </c>
      <c r="CH60">
        <f>CF60-(CG59-CG60)</f>
        <v/>
      </c>
      <c r="CI60">
        <f>MAX(0,CH60*(1+$E$34)-$F$34)</f>
        <v/>
      </c>
      <c r="CJ60">
        <f>CJ59-MIN(CJ59,CI60)</f>
        <v/>
      </c>
      <c r="CK60">
        <f>CI60-(CJ59-CJ60)</f>
        <v/>
      </c>
      <c r="CL60">
        <f>MAX(0,CK60*(1+$E$34)-$F$34)</f>
        <v/>
      </c>
      <c r="CM60">
        <f>CM59-MIN(CM59,CL60)</f>
        <v/>
      </c>
      <c r="CN60">
        <f>CL60-(CM59-CM60)</f>
        <v/>
      </c>
      <c r="CO60">
        <f>MAX(0,CN60*(1+$E$34)-$F$34)</f>
        <v/>
      </c>
      <c r="CP60">
        <f>CP59-MIN(CP59,CO60)</f>
        <v/>
      </c>
      <c r="CQ60">
        <f>CO60-(CP59-CP60)</f>
        <v/>
      </c>
      <c r="CR60">
        <f>MAX(0,CQ60*(1+$E$34)-$F$34)</f>
        <v/>
      </c>
      <c r="CS60">
        <f>CS59-MIN(CS59,CR60)</f>
        <v/>
      </c>
      <c r="CT60">
        <f>CR60-(CS59-CS60)</f>
        <v/>
      </c>
      <c r="CU60">
        <f>MAX(0,CT60*(1+$E$34)-$F$34)</f>
        <v/>
      </c>
      <c r="CV60">
        <f>CV59-MIN(CV59,CU60)</f>
        <v/>
      </c>
      <c r="CW60">
        <f>CU60-(CV59-CV60)</f>
        <v/>
      </c>
      <c r="CX60">
        <f>MAX(0,CW60*(1+$E$34)-$F$34)</f>
        <v/>
      </c>
      <c r="CY60">
        <f>CY59-MIN(CY59,CX60)</f>
        <v/>
      </c>
      <c r="CZ60">
        <f>CX60-(CY59-CY60)</f>
        <v/>
      </c>
      <c r="DA60">
        <f>MAX(0,CZ60*(1+$E$34)-$F$34)</f>
        <v/>
      </c>
      <c r="DB60">
        <f>DB59-MIN(DB59,DA60)</f>
        <v/>
      </c>
      <c r="DC60">
        <f>DA60-(DB59-DB60)</f>
        <v/>
      </c>
      <c r="DD60">
        <f>MAX(0,DC60*(1+$E$34)-$F$34)</f>
        <v/>
      </c>
      <c r="DE60">
        <f>DE59-MIN(DE59,DD60)</f>
        <v/>
      </c>
      <c r="DF60">
        <f>DD60-(DE59-DE60)</f>
        <v/>
      </c>
      <c r="DG60">
        <f>MAX(0,DF60*(1+$E$34)-$F$34)</f>
        <v/>
      </c>
      <c r="DH60">
        <f>DH59-MIN(DH59,DG60)</f>
        <v/>
      </c>
      <c r="DI60">
        <f>DG60-(DH59-DH60)</f>
        <v/>
      </c>
      <c r="DJ60">
        <f>MAX(0,DI60*(1+$E$34)-$F$34)</f>
        <v/>
      </c>
      <c r="DK60">
        <f>DK59-MIN(DK59,DJ60)</f>
        <v/>
      </c>
      <c r="DL60">
        <f>DJ60-(DK59-DK60)</f>
        <v/>
      </c>
      <c r="DM60">
        <f>MAX(0,DL60*(1+$E$34)-$F$34)</f>
        <v/>
      </c>
      <c r="DN60">
        <f>DN59-MIN(DN59,DM60)</f>
        <v/>
      </c>
      <c r="DO60">
        <f>DM60-(DN59-DN60)</f>
        <v/>
      </c>
      <c r="DP60">
        <f>MAX(0,DO60*(1+$E$34)-$F$34)</f>
        <v/>
      </c>
      <c r="DQ60">
        <f>DQ59-MIN(DQ59,DP60)</f>
        <v/>
      </c>
      <c r="DR60">
        <f>DP60-(DQ59-DQ60)</f>
        <v/>
      </c>
      <c r="DS60">
        <f>MAX(0,DR60*(1+$E$34)-$F$34)</f>
        <v/>
      </c>
      <c r="DT60">
        <f>DT59-MIN(DT59,DS60)</f>
        <v/>
      </c>
      <c r="DU60">
        <f>DS60-(DT59-DT60)</f>
        <v/>
      </c>
      <c r="DV60">
        <f>MAX(0,DU60*(1+$E$34)-$F$34)</f>
        <v/>
      </c>
      <c r="DW60">
        <f>DW59-MIN(DW59,DV60)</f>
        <v/>
      </c>
      <c r="DX60">
        <f>DV60-(DW59-DW60)</f>
        <v/>
      </c>
      <c r="DY60">
        <f>MAX(0,DX60*(1+$E$34)-$F$34)</f>
        <v/>
      </c>
      <c r="DZ60">
        <f>DZ59-MIN(DZ59,DY60)</f>
        <v/>
      </c>
      <c r="EA60">
        <f>DY60-(DZ59-DZ60)</f>
        <v/>
      </c>
      <c r="EB60">
        <f>MAX(0,EA60*(1+$E$34)-$F$34)</f>
        <v/>
      </c>
      <c r="EC60">
        <f>EC59-MIN(EC59,EB60)</f>
        <v/>
      </c>
      <c r="ED60">
        <f>EB60-(EC59-EC60)</f>
        <v/>
      </c>
      <c r="EE60">
        <f>MAX(0,ED60*(1+$E$34)-$F$34)</f>
        <v/>
      </c>
      <c r="EF60">
        <f>EF59-MIN(EF59,EE60)</f>
        <v/>
      </c>
      <c r="EG60">
        <f>EE60-(EF59-EF60)</f>
        <v/>
      </c>
      <c r="EH60">
        <f>MAX(0,EG60*(1+$E$34)-$F$34)</f>
        <v/>
      </c>
      <c r="EI60">
        <f>EI59-MIN(EI59,EH60)</f>
        <v/>
      </c>
      <c r="EJ60">
        <f>EH60-(EI59-EI60)</f>
        <v/>
      </c>
      <c r="EK60">
        <f>MAX(0,EJ60*(1+$E$34)-$F$34)</f>
        <v/>
      </c>
      <c r="EL60">
        <f>EL59-MIN(EL59,EK60)</f>
        <v/>
      </c>
      <c r="EM60">
        <f>EK60-(EL59-EL60)</f>
        <v/>
      </c>
      <c r="EN60">
        <f>MAX(0,EM60*(1+$E$34)-$F$34)</f>
        <v/>
      </c>
      <c r="EO60">
        <f>EO59-MIN(EO59,EN60)</f>
        <v/>
      </c>
      <c r="EP60">
        <f>EN60-(EO59-EO60)</f>
        <v/>
      </c>
      <c r="EQ60">
        <f>MAX(0,EP60*(1+$E$34)-$F$34)</f>
        <v/>
      </c>
      <c r="ER60">
        <f>ER59-MIN(ER59,EQ60)</f>
        <v/>
      </c>
      <c r="ES60">
        <f>EQ60-(ER59-ER60)</f>
        <v/>
      </c>
      <c r="ET60">
        <f>MAX(0,ES60*(1+$E$34)-$F$34)</f>
        <v/>
      </c>
      <c r="EU60">
        <f>EU59-MIN(EU59,ET60)</f>
        <v/>
      </c>
      <c r="EV60">
        <f>ET60-(EU59-EU60)</f>
        <v/>
      </c>
      <c r="EW60">
        <f>MAX(0,EV60*(1+$E$34)-$F$34)</f>
        <v/>
      </c>
      <c r="EX60">
        <f>EX59-MIN(EX59,EW60)</f>
        <v/>
      </c>
      <c r="EY60">
        <f>EW60-(EX59-EX60)</f>
        <v/>
      </c>
      <c r="EZ60">
        <f>MAX(0,EY60*(1+$E$34)-$F$34)</f>
        <v/>
      </c>
      <c r="FA60">
        <f>FA59-MIN(FA59,EZ60)</f>
        <v/>
      </c>
      <c r="FB60">
        <f>EZ60-(FA59-FA60)</f>
        <v/>
      </c>
      <c r="FC60">
        <f>MAX(0,FB60*(1+$E$34)-$F$34)</f>
        <v/>
      </c>
      <c r="FD60">
        <f>FD59-MIN(FD59,FC60)</f>
        <v/>
      </c>
      <c r="FE60">
        <f>FC60-(FD59-FD60)</f>
        <v/>
      </c>
      <c r="FF60">
        <f>MAX(0,FE60*(1+$E$34)-$F$34)</f>
        <v/>
      </c>
      <c r="FG60">
        <f>FG59-MIN(FG59,FF60)</f>
        <v/>
      </c>
      <c r="FH60">
        <f>FF60-(FG59-FG60)</f>
        <v/>
      </c>
      <c r="FI60">
        <f>MAX(0,FH60*(1+$E$34)-$F$34)</f>
        <v/>
      </c>
      <c r="FJ60">
        <f>FJ59-MIN(FJ59,FI60)</f>
        <v/>
      </c>
      <c r="FK60">
        <f>FI60-(FJ59-FJ60)</f>
        <v/>
      </c>
      <c r="FL60">
        <f>MAX(0,FK60*(1+$E$34)-$F$34)</f>
        <v/>
      </c>
      <c r="FM60">
        <f>FM59-MIN(FM59,FL60)</f>
        <v/>
      </c>
      <c r="FN60">
        <f>FL60-(FM59-FM60)</f>
        <v/>
      </c>
      <c r="FO60">
        <f>MAX(0,FN60*(1+$E$34)-$F$34)</f>
        <v/>
      </c>
      <c r="FP60">
        <f>FP59-MIN(FP59,FO60)</f>
        <v/>
      </c>
      <c r="FQ60">
        <f>FO60-(FP59-FP60)</f>
        <v/>
      </c>
      <c r="FR60">
        <f>MAX(0,FQ60*(1+$E$34)-$F$34)</f>
        <v/>
      </c>
      <c r="FS60">
        <f>FS59-MIN(FS59,FR60)</f>
        <v/>
      </c>
      <c r="FT60">
        <f>FR60-(FS59-FS60)</f>
        <v/>
      </c>
      <c r="FU60">
        <f>MAX(0,FT60*(1+$E$34)-$F$34)</f>
        <v/>
      </c>
      <c r="FV60">
        <f>FV59-MIN(FV59,FU60)</f>
        <v/>
      </c>
      <c r="FW60">
        <f>FU60-(FV59-FV60)</f>
        <v/>
      </c>
      <c r="FX60">
        <f>MAX(0,FW60*(1+$E$34)-$F$34)</f>
        <v/>
      </c>
      <c r="FY60">
        <f>FY59-MIN(FY59,FX60)</f>
        <v/>
      </c>
      <c r="FZ60">
        <f>FX60-(FY59-FY60)</f>
        <v/>
      </c>
      <c r="GA60">
        <f>MAX(0,FZ60*(1+$E$34)-$F$34)</f>
        <v/>
      </c>
      <c r="GB60">
        <f>GB59-MIN(GB59,GA60)</f>
        <v/>
      </c>
      <c r="GC60">
        <f>GA60-(GB59-GB60)</f>
        <v/>
      </c>
      <c r="GD60">
        <f>MAX(0,GC60*(1+$E$34)-$F$34)</f>
        <v/>
      </c>
      <c r="GE60">
        <f>GE59-MIN(GE59,GD60)</f>
        <v/>
      </c>
      <c r="GF60">
        <f>GD60-(GE59-GE60)</f>
        <v/>
      </c>
      <c r="GG60">
        <f>MAX(0,GF60*(1+$E$34)-$F$34)</f>
        <v/>
      </c>
      <c r="GH60">
        <f>GH59-MIN(GH59,GG60)</f>
        <v/>
      </c>
      <c r="GI60">
        <f>GG60-(GH59-GH60)</f>
        <v/>
      </c>
      <c r="GJ60">
        <f>MAX(0,GI60*(1+$E$34)-$F$34)</f>
        <v/>
      </c>
      <c r="GK60">
        <f>GK59-MIN(GK59,GJ60)</f>
        <v/>
      </c>
      <c r="GL60">
        <f>GJ60-(GK59-GK60)</f>
        <v/>
      </c>
      <c r="GM60">
        <f>MAX(0,GL60*(1+$E$34)-$F$34)</f>
        <v/>
      </c>
      <c r="GN60">
        <f>GN59-MIN(GN59,GM60)</f>
        <v/>
      </c>
      <c r="GO60">
        <f>GM60-(GN59-GN60)</f>
        <v/>
      </c>
      <c r="GP60">
        <f>MAX(0,GO60*(1+$E$34)-$F$34)</f>
        <v/>
      </c>
      <c r="GQ60">
        <f>GQ59-MIN(GQ59,GP60)</f>
        <v/>
      </c>
      <c r="GR60">
        <f>GP60-(GQ59-GQ60)</f>
        <v/>
      </c>
      <c r="GS60">
        <f>MAX(0,GR60*(1+$E$34)-$F$34)</f>
        <v/>
      </c>
      <c r="GT60">
        <f>GT59-MIN(GT59,GS60)</f>
        <v/>
      </c>
      <c r="GU60">
        <f>GS60-(GT59-GT60)</f>
        <v/>
      </c>
      <c r="GV60">
        <f>MAX(0,GU60*(1+$E$34)-$F$34)</f>
        <v/>
      </c>
      <c r="GW60">
        <f>GW59-MIN(GW59,GV60)</f>
        <v/>
      </c>
      <c r="GX60">
        <f>GV60-(GW59-GW60)</f>
        <v/>
      </c>
      <c r="GY60">
        <f>MAX(0,GX60*(1+$E$34)-$F$34)</f>
        <v/>
      </c>
      <c r="GZ60">
        <f>GZ59-MIN(GZ59,GY60)</f>
        <v/>
      </c>
      <c r="HA60">
        <f>GY60-(GZ59-GZ60)</f>
        <v/>
      </c>
      <c r="HB60">
        <f>MAX(0,HA60*(1+$E$34)-$F$34)</f>
        <v/>
      </c>
      <c r="HC60">
        <f>HC59-MIN(HC59,HB60)</f>
        <v/>
      </c>
      <c r="HD60">
        <f>HB60-(HC59-HC60)</f>
        <v/>
      </c>
      <c r="HE60">
        <f>MAX(0,HD60*(1+$E$34)-$F$34)</f>
        <v/>
      </c>
      <c r="HF60">
        <f>HF59-MIN(HF59,HE60)</f>
        <v/>
      </c>
      <c r="HG60">
        <f>HE60-(HF59-HF60)</f>
        <v/>
      </c>
      <c r="HH60">
        <f>MAX(0,HG60*(1+$E$34)-$F$34)</f>
        <v/>
      </c>
      <c r="HI60">
        <f>HI59-MIN(HI59,HH60)</f>
        <v/>
      </c>
      <c r="HJ60">
        <f>HH60-(HI59-HI60)</f>
        <v/>
      </c>
      <c r="HK60">
        <f>MAX(0,HJ60*(1+$E$34)-$F$34)</f>
        <v/>
      </c>
      <c r="HL60">
        <f>HL59-MIN(HL59,HK60)</f>
        <v/>
      </c>
      <c r="HM60">
        <f>HK60-(HL59-HL60)</f>
        <v/>
      </c>
      <c r="HN60">
        <f>MAX(0,HM60*(1+$E$34)-$F$34)</f>
        <v/>
      </c>
      <c r="HO60">
        <f>HO59-MIN(HO59,HN60)</f>
        <v/>
      </c>
      <c r="HP60">
        <f>HN60-(HO59-HO60)</f>
        <v/>
      </c>
      <c r="HQ60">
        <f>MAX(0,HP60*(1+$E$34)-$F$34)</f>
        <v/>
      </c>
      <c r="HR60">
        <f>HR59-MIN(HR59,HQ60)</f>
        <v/>
      </c>
      <c r="HS60">
        <f>HQ60-(HR59-HR60)</f>
        <v/>
      </c>
      <c r="HT60">
        <f>MAX(0,HS60*(1+$E$34)-$F$34)</f>
        <v/>
      </c>
      <c r="HU60">
        <f>HU59-MIN(HU59,HT60)</f>
        <v/>
      </c>
      <c r="HV60">
        <f>HT60-(HU59-HU60)</f>
        <v/>
      </c>
      <c r="HW60">
        <f>MAX(0,HV60*(1+$E$34)-$F$34)</f>
        <v/>
      </c>
      <c r="HX60">
        <f>HX59-MIN(HX59,HW60)</f>
        <v/>
      </c>
      <c r="HY60">
        <f>HW60-(HX59-HX60)</f>
        <v/>
      </c>
      <c r="HZ60">
        <f>MAX(0,HY60*(1+$E$34)-$F$34)</f>
        <v/>
      </c>
      <c r="IA60">
        <f>IA59-MIN(IA59,HZ60)</f>
        <v/>
      </c>
      <c r="IB60">
        <f>HZ60-(IA59-IA60)</f>
        <v/>
      </c>
      <c r="IC60">
        <f>MAX(0,IB60*(1+$E$34)-$F$34)</f>
        <v/>
      </c>
      <c r="ID60">
        <f>ID59-MIN(ID59,IC60)</f>
        <v/>
      </c>
      <c r="IE60">
        <f>IC60-(ID59-ID60)</f>
        <v/>
      </c>
      <c r="IF60">
        <f>MAX(0,IE60*(1+$E$34)-$F$34)</f>
        <v/>
      </c>
      <c r="IG60">
        <f>IG59-MIN(IG59,IF60)</f>
        <v/>
      </c>
      <c r="IH60">
        <f>IF60-(IG59-IG60)</f>
        <v/>
      </c>
      <c r="II60">
        <f>MAX(0,IH60*(1+$E$34)-$F$34)</f>
        <v/>
      </c>
      <c r="IJ60">
        <f>IJ59-MIN(IJ59,II60)</f>
        <v/>
      </c>
      <c r="IK60">
        <f>II60-(IJ59-IJ60)</f>
        <v/>
      </c>
      <c r="IL60">
        <f>MAX(0,IK60*(1+$E$34)-$F$34)</f>
        <v/>
      </c>
      <c r="IM60">
        <f>IM59-MIN(IM59,IL60)</f>
        <v/>
      </c>
      <c r="IN60">
        <f>IL60-(IM59-IM60)</f>
        <v/>
      </c>
      <c r="IO60">
        <f>MAX(0,IN60*(1+$E$34)-$F$34)</f>
        <v/>
      </c>
      <c r="IP60">
        <f>IP59-MIN(IP59,IO60)</f>
        <v/>
      </c>
      <c r="IQ60">
        <f>IO60-(IP59-IP60)</f>
        <v/>
      </c>
      <c r="IR60">
        <f>MAX(0,IQ60*(1+$E$34)-$F$34)</f>
        <v/>
      </c>
      <c r="IS60">
        <f>IS59-MIN(IS59,IR60)</f>
        <v/>
      </c>
      <c r="IT60">
        <f>IR60-(IS59-IS60)</f>
        <v/>
      </c>
      <c r="IU60">
        <f>MAX(0,IT60*(1+$E$34)-$F$34)</f>
        <v/>
      </c>
      <c r="IV60">
        <f>IV59-MIN(IV59,IU60)</f>
        <v/>
      </c>
      <c r="IW60">
        <f>IU60-(IV59-IV60)</f>
        <v/>
      </c>
      <c r="IX60">
        <f>MAX(0,IW60*(1+$E$34)-$F$34)</f>
        <v/>
      </c>
      <c r="IY60">
        <f>IY59-MIN(IY59,IX60)</f>
        <v/>
      </c>
      <c r="IZ60">
        <f>IX60-(IY59-IY60)</f>
        <v/>
      </c>
      <c r="JA60">
        <f>MAX(0,IZ60*(1+$E$34)-$F$34)</f>
        <v/>
      </c>
      <c r="JB60">
        <f>JB59-MIN(JB59,JA60)</f>
        <v/>
      </c>
      <c r="JC60">
        <f>JA60-(JB59-JB60)</f>
        <v/>
      </c>
      <c r="JD60">
        <f>MAX(0,JC60*(1+$E$34)-$F$34)</f>
        <v/>
      </c>
      <c r="JE60">
        <f>JE59-MIN(JE59,JD60)</f>
        <v/>
      </c>
      <c r="JF60">
        <f>JD60-(JE59-JE60)</f>
        <v/>
      </c>
      <c r="JG60">
        <f>MAX(0,JF60*(1+$E$34)-$F$34)</f>
        <v/>
      </c>
      <c r="JH60">
        <f>JH59-MIN(JH59,JG60)</f>
        <v/>
      </c>
      <c r="JI60">
        <f>JG60-(JH59-JH60)</f>
        <v/>
      </c>
      <c r="JJ60">
        <f>MAX(0,JI60*(1+$E$34)-$F$34)</f>
        <v/>
      </c>
      <c r="JK60">
        <f>JK59-MIN(JK59,JJ60)</f>
        <v/>
      </c>
      <c r="JL60">
        <f>JJ60-(JK59-JK60)</f>
        <v/>
      </c>
      <c r="JM60">
        <f>MAX(0,JL60*(1+$E$34)-$F$34)</f>
        <v/>
      </c>
      <c r="JN60">
        <f>JN59-MIN(JN59,JM60)</f>
        <v/>
      </c>
      <c r="JO60">
        <f>JM60-(JN59-JN60)</f>
        <v/>
      </c>
      <c r="JP60">
        <f>MAX(0,JO60*(1+$E$34)-$F$34)</f>
        <v/>
      </c>
      <c r="JQ60">
        <f>JQ59-MIN(JQ59,JP60)</f>
        <v/>
      </c>
      <c r="JR60">
        <f>JP60-(JQ59-JQ60)</f>
        <v/>
      </c>
      <c r="JS60">
        <f>MAX(0,JR60*(1+$E$34)-$F$34)</f>
        <v/>
      </c>
      <c r="JT60">
        <f>JT59-MIN(JT59,JS60)</f>
        <v/>
      </c>
      <c r="JU60">
        <f>JS60-(JT59-JT60)</f>
        <v/>
      </c>
      <c r="JV60">
        <f>MAX(0,JU60*(1+$E$34)-$F$34)</f>
        <v/>
      </c>
      <c r="JW60">
        <f>JW59-MIN(JW59,JV60)</f>
        <v/>
      </c>
      <c r="JX60">
        <f>JV60-(JW59-JW60)</f>
        <v/>
      </c>
      <c r="JY60">
        <f>MAX(0,JX60*(1+$E$34)-$F$34)</f>
        <v/>
      </c>
      <c r="JZ60">
        <f>JZ59-MIN(JZ59,JY60)</f>
        <v/>
      </c>
      <c r="KA60">
        <f>JY60-(JZ59-JZ60)</f>
        <v/>
      </c>
      <c r="KB60">
        <f>MAX(0,KA60*(1+$E$34)-$F$34)</f>
        <v/>
      </c>
      <c r="KC60">
        <f>KC59-MIN(KC59,KB60)</f>
        <v/>
      </c>
      <c r="KD60">
        <f>KB60-(KC59-KC60)</f>
        <v/>
      </c>
      <c r="KE60">
        <f>MAX(0,KD60*(1+$E$34)-$F$34)</f>
        <v/>
      </c>
      <c r="KF60">
        <f>KF59-MIN(KF59,KE60)</f>
        <v/>
      </c>
      <c r="KG60">
        <f>KE60-(KF59-KF60)</f>
        <v/>
      </c>
      <c r="KH60">
        <f>MAX(0,KG60*(1+$E$34)-$F$34)</f>
        <v/>
      </c>
      <c r="KI60">
        <f>KI59-MIN(KI59,KH60)</f>
        <v/>
      </c>
      <c r="KJ60">
        <f>KH60-(KI59-KI60)</f>
        <v/>
      </c>
      <c r="KK60">
        <f>MAX(0,KJ60*(1+$E$34)-$F$34)</f>
        <v/>
      </c>
      <c r="KL60">
        <f>KL59-MIN(KL59,KK60)</f>
        <v/>
      </c>
      <c r="KM60">
        <f>KK60-(KL59-KL60)</f>
        <v/>
      </c>
      <c r="KN60">
        <f>MAX(0,KM60*(1+$E$34)-$F$34)</f>
        <v/>
      </c>
      <c r="KO60">
        <f>KO59-MIN(KO59,KN60)</f>
        <v/>
      </c>
      <c r="KP60">
        <f>KN60-(KO59-KO60)</f>
        <v/>
      </c>
      <c r="KQ60">
        <f>MAX(0,KP60*(1+$E$34)-$F$34)</f>
        <v/>
      </c>
      <c r="KR60">
        <f>KR59-MIN(KR59,KQ60)</f>
        <v/>
      </c>
      <c r="KS60">
        <f>KQ60-(KR59-KR60)</f>
        <v/>
      </c>
      <c r="KT60">
        <f>MAX(0,KS60*(1+$E$34)-$F$34)</f>
        <v/>
      </c>
      <c r="KU60">
        <f>KU59-MIN(KU59,KT60)</f>
        <v/>
      </c>
      <c r="KV60">
        <f>KT60-(KU59-KU60)</f>
        <v/>
      </c>
      <c r="KW60">
        <f>MAX(0,KV60*(1+$E$34)-$F$34)</f>
        <v/>
      </c>
      <c r="KX60">
        <f>KX59-MIN(KX59,KW60)</f>
        <v/>
      </c>
      <c r="KY60">
        <f>KW60-(KX59-KX60)</f>
        <v/>
      </c>
      <c r="KZ60">
        <f>MAX(0,KY60*(1+$E$34)-$F$34)</f>
        <v/>
      </c>
      <c r="LA60">
        <f>LA59-MIN(LA59,KZ60)</f>
        <v/>
      </c>
      <c r="LB60">
        <f>KZ60-(LA59-LA60)</f>
        <v/>
      </c>
      <c r="LC60">
        <f>MAX(0,LB60*(1+$E$34)-$F$34)</f>
        <v/>
      </c>
      <c r="LD60">
        <f>LD59-MIN(LD59,LC60)</f>
        <v/>
      </c>
      <c r="LE60">
        <f>LC60-(LD59-LD60)</f>
        <v/>
      </c>
      <c r="LF60">
        <f>MAX(0,LE60*(1+$E$34)-$F$34)</f>
        <v/>
      </c>
      <c r="LG60">
        <f>LG59-MIN(LG59,LF60)</f>
        <v/>
      </c>
      <c r="LH60">
        <f>LF60-(LG59-LG60)</f>
        <v/>
      </c>
      <c r="LI60">
        <f>MAX(0,LH60*(1+$E$34)-$F$34)</f>
        <v/>
      </c>
      <c r="LJ60">
        <f>LJ59-MIN(LJ59,LI60)</f>
        <v/>
      </c>
      <c r="LK60">
        <f>LI60-(LJ59-LJ60)</f>
        <v/>
      </c>
      <c r="LL60">
        <f>MAX(0,LK60*(1+$E$34)-$F$34)</f>
        <v/>
      </c>
      <c r="LM60">
        <f>LM59-MIN(LM59,LL60)</f>
        <v/>
      </c>
      <c r="LN60">
        <f>LL60-(LM59-LM60)</f>
        <v/>
      </c>
      <c r="LO60">
        <f>MAX(0,LN60*(1+$E$34)-$F$34)</f>
        <v/>
      </c>
      <c r="LP60">
        <f>LP59-MIN(LP59,LO60)</f>
        <v/>
      </c>
      <c r="LQ60">
        <f>LO60-(LP59-LP60)</f>
        <v/>
      </c>
      <c r="LR60">
        <f>MAX(0,LQ60*(1+$E$34)-$F$34)</f>
        <v/>
      </c>
      <c r="LS60">
        <f>LS59-MIN(LS59,LR60)</f>
        <v/>
      </c>
      <c r="LT60">
        <f>LR60-(LS59-LS60)</f>
        <v/>
      </c>
      <c r="LU60">
        <f>MAX(0,LT60*(1+$E$34)-$F$34)</f>
        <v/>
      </c>
      <c r="LV60">
        <f>LV59-MIN(LV59,LU60)</f>
        <v/>
      </c>
      <c r="LW60">
        <f>LU60-(LV59-LV60)</f>
        <v/>
      </c>
      <c r="LX60">
        <f>MAX(0,LW60*(1+$E$34)-$F$34)</f>
        <v/>
      </c>
      <c r="LY60">
        <f>LY59-MIN(LY59,LX60)</f>
        <v/>
      </c>
      <c r="LZ60">
        <f>LX60-(LY59-LY60)</f>
        <v/>
      </c>
      <c r="MA60">
        <f>MAX(0,LZ60*(1+$E$34)-$F$34)</f>
        <v/>
      </c>
      <c r="MB60">
        <f>MB59-MIN(MB59,MA60)</f>
        <v/>
      </c>
      <c r="MC60">
        <f>MA60-(MB59-MB60)</f>
        <v/>
      </c>
      <c r="MD60">
        <f>MAX(0,MC60*(1+$E$34)-$F$34)</f>
        <v/>
      </c>
      <c r="ME60">
        <f>ME59-MIN(ME59,MD60)</f>
        <v/>
      </c>
      <c r="MF60">
        <f>MD60-(ME59-ME60)</f>
        <v/>
      </c>
      <c r="MG60">
        <f>MAX(0,MF60*(1+$E$34)-$F$34)</f>
        <v/>
      </c>
      <c r="MH60">
        <f>MH59-MIN(MH59,MG60)</f>
        <v/>
      </c>
      <c r="MI60">
        <f>MG60-(MH59-MH60)</f>
        <v/>
      </c>
      <c r="MJ60">
        <f>MAX(0,MI60*(1+$E$34)-$F$34)</f>
        <v/>
      </c>
      <c r="MK60">
        <f>MK59-MIN(MK59,MJ60)</f>
        <v/>
      </c>
      <c r="ML60">
        <f>MJ60-(MK59-MK60)</f>
        <v/>
      </c>
      <c r="MM60">
        <f>MAX(0,ML60*(1+$E$34)-$F$34)</f>
        <v/>
      </c>
      <c r="MN60">
        <f>MN59-MIN(MN59,MM60)</f>
        <v/>
      </c>
      <c r="MO60">
        <f>MM60-(MN59-MN60)</f>
        <v/>
      </c>
      <c r="MP60">
        <f>MAX(0,MO60*(1+$E$34)-$F$34)</f>
        <v/>
      </c>
      <c r="MQ60">
        <f>MQ59-MIN(MQ59,MP60)</f>
        <v/>
      </c>
      <c r="MR60">
        <f>MP60-(MQ59-MQ60)</f>
        <v/>
      </c>
      <c r="MS60">
        <f>MAX(0,MR60*(1+$E$34)-$F$34)</f>
        <v/>
      </c>
      <c r="MT60">
        <f>MT59-MIN(MT59,MS60)</f>
        <v/>
      </c>
      <c r="MU60">
        <f>MS60-(MT59-MT60)</f>
        <v/>
      </c>
      <c r="MV60">
        <f>MAX(0,MU60*(1+$E$34)-$F$34)</f>
        <v/>
      </c>
      <c r="MW60">
        <f>MW59-MIN(MW59,MV60)</f>
        <v/>
      </c>
      <c r="MX60">
        <f>MV60-(MW59-MW60)</f>
        <v/>
      </c>
    </row>
    <row r="61">
      <c r="A61" t="inlineStr">
        <is>
          <t>slot 12</t>
        </is>
      </c>
      <c r="B61">
        <f>D35</f>
        <v/>
      </c>
      <c r="C61">
        <f>MAX(0,B61*(1+$E$35)-$F$35)</f>
        <v/>
      </c>
      <c r="D61">
        <f>D60-MIN(D60,C61)</f>
        <v/>
      </c>
      <c r="E61">
        <f>C61-(D60-D61)</f>
        <v/>
      </c>
      <c r="F61">
        <f>MAX(0,E61*(1+$E$35)-$F$35)</f>
        <v/>
      </c>
      <c r="G61">
        <f>G60-MIN(G60,F61)</f>
        <v/>
      </c>
      <c r="H61">
        <f>F61-(G60-G61)</f>
        <v/>
      </c>
      <c r="I61">
        <f>MAX(0,H61*(1+$E$35)-$F$35)</f>
        <v/>
      </c>
      <c r="J61">
        <f>J60-MIN(J60,I61)</f>
        <v/>
      </c>
      <c r="K61">
        <f>I61-(J60-J61)</f>
        <v/>
      </c>
      <c r="L61">
        <f>MAX(0,K61*(1+$E$35)-$F$35)</f>
        <v/>
      </c>
      <c r="M61">
        <f>M60-MIN(M60,L61)</f>
        <v/>
      </c>
      <c r="N61">
        <f>L61-(M60-M61)</f>
        <v/>
      </c>
      <c r="O61">
        <f>MAX(0,N61*(1+$E$35)-$F$35)</f>
        <v/>
      </c>
      <c r="P61">
        <f>P60-MIN(P60,O61)</f>
        <v/>
      </c>
      <c r="Q61">
        <f>O61-(P60-P61)</f>
        <v/>
      </c>
      <c r="R61">
        <f>MAX(0,Q61*(1+$E$35)-$F$35)</f>
        <v/>
      </c>
      <c r="S61">
        <f>S60-MIN(S60,R61)</f>
        <v/>
      </c>
      <c r="T61">
        <f>R61-(S60-S61)</f>
        <v/>
      </c>
      <c r="U61">
        <f>MAX(0,T61*(1+$E$35)-$F$35)</f>
        <v/>
      </c>
      <c r="V61">
        <f>V60-MIN(V60,U61)</f>
        <v/>
      </c>
      <c r="W61">
        <f>U61-(V60-V61)</f>
        <v/>
      </c>
      <c r="X61">
        <f>MAX(0,W61*(1+$E$35)-$F$35)</f>
        <v/>
      </c>
      <c r="Y61">
        <f>Y60-MIN(Y60,X61)</f>
        <v/>
      </c>
      <c r="Z61">
        <f>X61-(Y60-Y61)</f>
        <v/>
      </c>
      <c r="AA61">
        <f>MAX(0,Z61*(1+$E$35)-$F$35)</f>
        <v/>
      </c>
      <c r="AB61">
        <f>AB60-MIN(AB60,AA61)</f>
        <v/>
      </c>
      <c r="AC61">
        <f>AA61-(AB60-AB61)</f>
        <v/>
      </c>
      <c r="AD61">
        <f>MAX(0,AC61*(1+$E$35)-$F$35)</f>
        <v/>
      </c>
      <c r="AE61">
        <f>AE60-MIN(AE60,AD61)</f>
        <v/>
      </c>
      <c r="AF61">
        <f>AD61-(AE60-AE61)</f>
        <v/>
      </c>
      <c r="AG61">
        <f>MAX(0,AF61*(1+$E$35)-$F$35)</f>
        <v/>
      </c>
      <c r="AH61">
        <f>AH60-MIN(AH60,AG61)</f>
        <v/>
      </c>
      <c r="AI61">
        <f>AG61-(AH60-AH61)</f>
        <v/>
      </c>
      <c r="AJ61">
        <f>MAX(0,AI61*(1+$E$35)-$F$35)</f>
        <v/>
      </c>
      <c r="AK61">
        <f>AK60-MIN(AK60,AJ61)</f>
        <v/>
      </c>
      <c r="AL61">
        <f>AJ61-(AK60-AK61)</f>
        <v/>
      </c>
      <c r="AM61">
        <f>MAX(0,AL61*(1+$E$35)-$F$35)</f>
        <v/>
      </c>
      <c r="AN61">
        <f>AN60-MIN(AN60,AM61)</f>
        <v/>
      </c>
      <c r="AO61">
        <f>AM61-(AN60-AN61)</f>
        <v/>
      </c>
      <c r="AP61">
        <f>MAX(0,AO61*(1+$E$35)-$F$35)</f>
        <v/>
      </c>
      <c r="AQ61">
        <f>AQ60-MIN(AQ60,AP61)</f>
        <v/>
      </c>
      <c r="AR61">
        <f>AP61-(AQ60-AQ61)</f>
        <v/>
      </c>
      <c r="AS61">
        <f>MAX(0,AR61*(1+$E$35)-$F$35)</f>
        <v/>
      </c>
      <c r="AT61">
        <f>AT60-MIN(AT60,AS61)</f>
        <v/>
      </c>
      <c r="AU61">
        <f>AS61-(AT60-AT61)</f>
        <v/>
      </c>
      <c r="AV61">
        <f>MAX(0,AU61*(1+$E$35)-$F$35)</f>
        <v/>
      </c>
      <c r="AW61">
        <f>AW60-MIN(AW60,AV61)</f>
        <v/>
      </c>
      <c r="AX61">
        <f>AV61-(AW60-AW61)</f>
        <v/>
      </c>
      <c r="AY61">
        <f>MAX(0,AX61*(1+$E$35)-$F$35)</f>
        <v/>
      </c>
      <c r="AZ61">
        <f>AZ60-MIN(AZ60,AY61)</f>
        <v/>
      </c>
      <c r="BA61">
        <f>AY61-(AZ60-AZ61)</f>
        <v/>
      </c>
      <c r="BB61">
        <f>MAX(0,BA61*(1+$E$35)-$F$35)</f>
        <v/>
      </c>
      <c r="BC61">
        <f>BC60-MIN(BC60,BB61)</f>
        <v/>
      </c>
      <c r="BD61">
        <f>BB61-(BC60-BC61)</f>
        <v/>
      </c>
      <c r="BE61">
        <f>MAX(0,BD61*(1+$E$35)-$F$35)</f>
        <v/>
      </c>
      <c r="BF61">
        <f>BF60-MIN(BF60,BE61)</f>
        <v/>
      </c>
      <c r="BG61">
        <f>BE61-(BF60-BF61)</f>
        <v/>
      </c>
      <c r="BH61">
        <f>MAX(0,BG61*(1+$E$35)-$F$35)</f>
        <v/>
      </c>
      <c r="BI61">
        <f>BI60-MIN(BI60,BH61)</f>
        <v/>
      </c>
      <c r="BJ61">
        <f>BH61-(BI60-BI61)</f>
        <v/>
      </c>
      <c r="BK61">
        <f>MAX(0,BJ61*(1+$E$35)-$F$35)</f>
        <v/>
      </c>
      <c r="BL61">
        <f>BL60-MIN(BL60,BK61)</f>
        <v/>
      </c>
      <c r="BM61">
        <f>BK61-(BL60-BL61)</f>
        <v/>
      </c>
      <c r="BN61">
        <f>MAX(0,BM61*(1+$E$35)-$F$35)</f>
        <v/>
      </c>
      <c r="BO61">
        <f>BO60-MIN(BO60,BN61)</f>
        <v/>
      </c>
      <c r="BP61">
        <f>BN61-(BO60-BO61)</f>
        <v/>
      </c>
      <c r="BQ61">
        <f>MAX(0,BP61*(1+$E$35)-$F$35)</f>
        <v/>
      </c>
      <c r="BR61">
        <f>BR60-MIN(BR60,BQ61)</f>
        <v/>
      </c>
      <c r="BS61">
        <f>BQ61-(BR60-BR61)</f>
        <v/>
      </c>
      <c r="BT61">
        <f>MAX(0,BS61*(1+$E$35)-$F$35)</f>
        <v/>
      </c>
      <c r="BU61">
        <f>BU60-MIN(BU60,BT61)</f>
        <v/>
      </c>
      <c r="BV61">
        <f>BT61-(BU60-BU61)</f>
        <v/>
      </c>
      <c r="BW61">
        <f>MAX(0,BV61*(1+$E$35)-$F$35)</f>
        <v/>
      </c>
      <c r="BX61">
        <f>BX60-MIN(BX60,BW61)</f>
        <v/>
      </c>
      <c r="BY61">
        <f>BW61-(BX60-BX61)</f>
        <v/>
      </c>
      <c r="BZ61">
        <f>MAX(0,BY61*(1+$E$35)-$F$35)</f>
        <v/>
      </c>
      <c r="CA61">
        <f>CA60-MIN(CA60,BZ61)</f>
        <v/>
      </c>
      <c r="CB61">
        <f>BZ61-(CA60-CA61)</f>
        <v/>
      </c>
      <c r="CC61">
        <f>MAX(0,CB61*(1+$E$35)-$F$35)</f>
        <v/>
      </c>
      <c r="CD61">
        <f>CD60-MIN(CD60,CC61)</f>
        <v/>
      </c>
      <c r="CE61">
        <f>CC61-(CD60-CD61)</f>
        <v/>
      </c>
      <c r="CF61">
        <f>MAX(0,CE61*(1+$E$35)-$F$35)</f>
        <v/>
      </c>
      <c r="CG61">
        <f>CG60-MIN(CG60,CF61)</f>
        <v/>
      </c>
      <c r="CH61">
        <f>CF61-(CG60-CG61)</f>
        <v/>
      </c>
      <c r="CI61">
        <f>MAX(0,CH61*(1+$E$35)-$F$35)</f>
        <v/>
      </c>
      <c r="CJ61">
        <f>CJ60-MIN(CJ60,CI61)</f>
        <v/>
      </c>
      <c r="CK61">
        <f>CI61-(CJ60-CJ61)</f>
        <v/>
      </c>
      <c r="CL61">
        <f>MAX(0,CK61*(1+$E$35)-$F$35)</f>
        <v/>
      </c>
      <c r="CM61">
        <f>CM60-MIN(CM60,CL61)</f>
        <v/>
      </c>
      <c r="CN61">
        <f>CL61-(CM60-CM61)</f>
        <v/>
      </c>
      <c r="CO61">
        <f>MAX(0,CN61*(1+$E$35)-$F$35)</f>
        <v/>
      </c>
      <c r="CP61">
        <f>CP60-MIN(CP60,CO61)</f>
        <v/>
      </c>
      <c r="CQ61">
        <f>CO61-(CP60-CP61)</f>
        <v/>
      </c>
      <c r="CR61">
        <f>MAX(0,CQ61*(1+$E$35)-$F$35)</f>
        <v/>
      </c>
      <c r="CS61">
        <f>CS60-MIN(CS60,CR61)</f>
        <v/>
      </c>
      <c r="CT61">
        <f>CR61-(CS60-CS61)</f>
        <v/>
      </c>
      <c r="CU61">
        <f>MAX(0,CT61*(1+$E$35)-$F$35)</f>
        <v/>
      </c>
      <c r="CV61">
        <f>CV60-MIN(CV60,CU61)</f>
        <v/>
      </c>
      <c r="CW61">
        <f>CU61-(CV60-CV61)</f>
        <v/>
      </c>
      <c r="CX61">
        <f>MAX(0,CW61*(1+$E$35)-$F$35)</f>
        <v/>
      </c>
      <c r="CY61">
        <f>CY60-MIN(CY60,CX61)</f>
        <v/>
      </c>
      <c r="CZ61">
        <f>CX61-(CY60-CY61)</f>
        <v/>
      </c>
      <c r="DA61">
        <f>MAX(0,CZ61*(1+$E$35)-$F$35)</f>
        <v/>
      </c>
      <c r="DB61">
        <f>DB60-MIN(DB60,DA61)</f>
        <v/>
      </c>
      <c r="DC61">
        <f>DA61-(DB60-DB61)</f>
        <v/>
      </c>
      <c r="DD61">
        <f>MAX(0,DC61*(1+$E$35)-$F$35)</f>
        <v/>
      </c>
      <c r="DE61">
        <f>DE60-MIN(DE60,DD61)</f>
        <v/>
      </c>
      <c r="DF61">
        <f>DD61-(DE60-DE61)</f>
        <v/>
      </c>
      <c r="DG61">
        <f>MAX(0,DF61*(1+$E$35)-$F$35)</f>
        <v/>
      </c>
      <c r="DH61">
        <f>DH60-MIN(DH60,DG61)</f>
        <v/>
      </c>
      <c r="DI61">
        <f>DG61-(DH60-DH61)</f>
        <v/>
      </c>
      <c r="DJ61">
        <f>MAX(0,DI61*(1+$E$35)-$F$35)</f>
        <v/>
      </c>
      <c r="DK61">
        <f>DK60-MIN(DK60,DJ61)</f>
        <v/>
      </c>
      <c r="DL61">
        <f>DJ61-(DK60-DK61)</f>
        <v/>
      </c>
      <c r="DM61">
        <f>MAX(0,DL61*(1+$E$35)-$F$35)</f>
        <v/>
      </c>
      <c r="DN61">
        <f>DN60-MIN(DN60,DM61)</f>
        <v/>
      </c>
      <c r="DO61">
        <f>DM61-(DN60-DN61)</f>
        <v/>
      </c>
      <c r="DP61">
        <f>MAX(0,DO61*(1+$E$35)-$F$35)</f>
        <v/>
      </c>
      <c r="DQ61">
        <f>DQ60-MIN(DQ60,DP61)</f>
        <v/>
      </c>
      <c r="DR61">
        <f>DP61-(DQ60-DQ61)</f>
        <v/>
      </c>
      <c r="DS61">
        <f>MAX(0,DR61*(1+$E$35)-$F$35)</f>
        <v/>
      </c>
      <c r="DT61">
        <f>DT60-MIN(DT60,DS61)</f>
        <v/>
      </c>
      <c r="DU61">
        <f>DS61-(DT60-DT61)</f>
        <v/>
      </c>
      <c r="DV61">
        <f>MAX(0,DU61*(1+$E$35)-$F$35)</f>
        <v/>
      </c>
      <c r="DW61">
        <f>DW60-MIN(DW60,DV61)</f>
        <v/>
      </c>
      <c r="DX61">
        <f>DV61-(DW60-DW61)</f>
        <v/>
      </c>
      <c r="DY61">
        <f>MAX(0,DX61*(1+$E$35)-$F$35)</f>
        <v/>
      </c>
      <c r="DZ61">
        <f>DZ60-MIN(DZ60,DY61)</f>
        <v/>
      </c>
      <c r="EA61">
        <f>DY61-(DZ60-DZ61)</f>
        <v/>
      </c>
      <c r="EB61">
        <f>MAX(0,EA61*(1+$E$35)-$F$35)</f>
        <v/>
      </c>
      <c r="EC61">
        <f>EC60-MIN(EC60,EB61)</f>
        <v/>
      </c>
      <c r="ED61">
        <f>EB61-(EC60-EC61)</f>
        <v/>
      </c>
      <c r="EE61">
        <f>MAX(0,ED61*(1+$E$35)-$F$35)</f>
        <v/>
      </c>
      <c r="EF61">
        <f>EF60-MIN(EF60,EE61)</f>
        <v/>
      </c>
      <c r="EG61">
        <f>EE61-(EF60-EF61)</f>
        <v/>
      </c>
      <c r="EH61">
        <f>MAX(0,EG61*(1+$E$35)-$F$35)</f>
        <v/>
      </c>
      <c r="EI61">
        <f>EI60-MIN(EI60,EH61)</f>
        <v/>
      </c>
      <c r="EJ61">
        <f>EH61-(EI60-EI61)</f>
        <v/>
      </c>
      <c r="EK61">
        <f>MAX(0,EJ61*(1+$E$35)-$F$35)</f>
        <v/>
      </c>
      <c r="EL61">
        <f>EL60-MIN(EL60,EK61)</f>
        <v/>
      </c>
      <c r="EM61">
        <f>EK61-(EL60-EL61)</f>
        <v/>
      </c>
      <c r="EN61">
        <f>MAX(0,EM61*(1+$E$35)-$F$35)</f>
        <v/>
      </c>
      <c r="EO61">
        <f>EO60-MIN(EO60,EN61)</f>
        <v/>
      </c>
      <c r="EP61">
        <f>EN61-(EO60-EO61)</f>
        <v/>
      </c>
      <c r="EQ61">
        <f>MAX(0,EP61*(1+$E$35)-$F$35)</f>
        <v/>
      </c>
      <c r="ER61">
        <f>ER60-MIN(ER60,EQ61)</f>
        <v/>
      </c>
      <c r="ES61">
        <f>EQ61-(ER60-ER61)</f>
        <v/>
      </c>
      <c r="ET61">
        <f>MAX(0,ES61*(1+$E$35)-$F$35)</f>
        <v/>
      </c>
      <c r="EU61">
        <f>EU60-MIN(EU60,ET61)</f>
        <v/>
      </c>
      <c r="EV61">
        <f>ET61-(EU60-EU61)</f>
        <v/>
      </c>
      <c r="EW61">
        <f>MAX(0,EV61*(1+$E$35)-$F$35)</f>
        <v/>
      </c>
      <c r="EX61">
        <f>EX60-MIN(EX60,EW61)</f>
        <v/>
      </c>
      <c r="EY61">
        <f>EW61-(EX60-EX61)</f>
        <v/>
      </c>
      <c r="EZ61">
        <f>MAX(0,EY61*(1+$E$35)-$F$35)</f>
        <v/>
      </c>
      <c r="FA61">
        <f>FA60-MIN(FA60,EZ61)</f>
        <v/>
      </c>
      <c r="FB61">
        <f>EZ61-(FA60-FA61)</f>
        <v/>
      </c>
      <c r="FC61">
        <f>MAX(0,FB61*(1+$E$35)-$F$35)</f>
        <v/>
      </c>
      <c r="FD61">
        <f>FD60-MIN(FD60,FC61)</f>
        <v/>
      </c>
      <c r="FE61">
        <f>FC61-(FD60-FD61)</f>
        <v/>
      </c>
      <c r="FF61">
        <f>MAX(0,FE61*(1+$E$35)-$F$35)</f>
        <v/>
      </c>
      <c r="FG61">
        <f>FG60-MIN(FG60,FF61)</f>
        <v/>
      </c>
      <c r="FH61">
        <f>FF61-(FG60-FG61)</f>
        <v/>
      </c>
      <c r="FI61">
        <f>MAX(0,FH61*(1+$E$35)-$F$35)</f>
        <v/>
      </c>
      <c r="FJ61">
        <f>FJ60-MIN(FJ60,FI61)</f>
        <v/>
      </c>
      <c r="FK61">
        <f>FI61-(FJ60-FJ61)</f>
        <v/>
      </c>
      <c r="FL61">
        <f>MAX(0,FK61*(1+$E$35)-$F$35)</f>
        <v/>
      </c>
      <c r="FM61">
        <f>FM60-MIN(FM60,FL61)</f>
        <v/>
      </c>
      <c r="FN61">
        <f>FL61-(FM60-FM61)</f>
        <v/>
      </c>
      <c r="FO61">
        <f>MAX(0,FN61*(1+$E$35)-$F$35)</f>
        <v/>
      </c>
      <c r="FP61">
        <f>FP60-MIN(FP60,FO61)</f>
        <v/>
      </c>
      <c r="FQ61">
        <f>FO61-(FP60-FP61)</f>
        <v/>
      </c>
      <c r="FR61">
        <f>MAX(0,FQ61*(1+$E$35)-$F$35)</f>
        <v/>
      </c>
      <c r="FS61">
        <f>FS60-MIN(FS60,FR61)</f>
        <v/>
      </c>
      <c r="FT61">
        <f>FR61-(FS60-FS61)</f>
        <v/>
      </c>
      <c r="FU61">
        <f>MAX(0,FT61*(1+$E$35)-$F$35)</f>
        <v/>
      </c>
      <c r="FV61">
        <f>FV60-MIN(FV60,FU61)</f>
        <v/>
      </c>
      <c r="FW61">
        <f>FU61-(FV60-FV61)</f>
        <v/>
      </c>
      <c r="FX61">
        <f>MAX(0,FW61*(1+$E$35)-$F$35)</f>
        <v/>
      </c>
      <c r="FY61">
        <f>FY60-MIN(FY60,FX61)</f>
        <v/>
      </c>
      <c r="FZ61">
        <f>FX61-(FY60-FY61)</f>
        <v/>
      </c>
      <c r="GA61">
        <f>MAX(0,FZ61*(1+$E$35)-$F$35)</f>
        <v/>
      </c>
      <c r="GB61">
        <f>GB60-MIN(GB60,GA61)</f>
        <v/>
      </c>
      <c r="GC61">
        <f>GA61-(GB60-GB61)</f>
        <v/>
      </c>
      <c r="GD61">
        <f>MAX(0,GC61*(1+$E$35)-$F$35)</f>
        <v/>
      </c>
      <c r="GE61">
        <f>GE60-MIN(GE60,GD61)</f>
        <v/>
      </c>
      <c r="GF61">
        <f>GD61-(GE60-GE61)</f>
        <v/>
      </c>
      <c r="GG61">
        <f>MAX(0,GF61*(1+$E$35)-$F$35)</f>
        <v/>
      </c>
      <c r="GH61">
        <f>GH60-MIN(GH60,GG61)</f>
        <v/>
      </c>
      <c r="GI61">
        <f>GG61-(GH60-GH61)</f>
        <v/>
      </c>
      <c r="GJ61">
        <f>MAX(0,GI61*(1+$E$35)-$F$35)</f>
        <v/>
      </c>
      <c r="GK61">
        <f>GK60-MIN(GK60,GJ61)</f>
        <v/>
      </c>
      <c r="GL61">
        <f>GJ61-(GK60-GK61)</f>
        <v/>
      </c>
      <c r="GM61">
        <f>MAX(0,GL61*(1+$E$35)-$F$35)</f>
        <v/>
      </c>
      <c r="GN61">
        <f>GN60-MIN(GN60,GM61)</f>
        <v/>
      </c>
      <c r="GO61">
        <f>GM61-(GN60-GN61)</f>
        <v/>
      </c>
      <c r="GP61">
        <f>MAX(0,GO61*(1+$E$35)-$F$35)</f>
        <v/>
      </c>
      <c r="GQ61">
        <f>GQ60-MIN(GQ60,GP61)</f>
        <v/>
      </c>
      <c r="GR61">
        <f>GP61-(GQ60-GQ61)</f>
        <v/>
      </c>
      <c r="GS61">
        <f>MAX(0,GR61*(1+$E$35)-$F$35)</f>
        <v/>
      </c>
      <c r="GT61">
        <f>GT60-MIN(GT60,GS61)</f>
        <v/>
      </c>
      <c r="GU61">
        <f>GS61-(GT60-GT61)</f>
        <v/>
      </c>
      <c r="GV61">
        <f>MAX(0,GU61*(1+$E$35)-$F$35)</f>
        <v/>
      </c>
      <c r="GW61">
        <f>GW60-MIN(GW60,GV61)</f>
        <v/>
      </c>
      <c r="GX61">
        <f>GV61-(GW60-GW61)</f>
        <v/>
      </c>
      <c r="GY61">
        <f>MAX(0,GX61*(1+$E$35)-$F$35)</f>
        <v/>
      </c>
      <c r="GZ61">
        <f>GZ60-MIN(GZ60,GY61)</f>
        <v/>
      </c>
      <c r="HA61">
        <f>GY61-(GZ60-GZ61)</f>
        <v/>
      </c>
      <c r="HB61">
        <f>MAX(0,HA61*(1+$E$35)-$F$35)</f>
        <v/>
      </c>
      <c r="HC61">
        <f>HC60-MIN(HC60,HB61)</f>
        <v/>
      </c>
      <c r="HD61">
        <f>HB61-(HC60-HC61)</f>
        <v/>
      </c>
      <c r="HE61">
        <f>MAX(0,HD61*(1+$E$35)-$F$35)</f>
        <v/>
      </c>
      <c r="HF61">
        <f>HF60-MIN(HF60,HE61)</f>
        <v/>
      </c>
      <c r="HG61">
        <f>HE61-(HF60-HF61)</f>
        <v/>
      </c>
      <c r="HH61">
        <f>MAX(0,HG61*(1+$E$35)-$F$35)</f>
        <v/>
      </c>
      <c r="HI61">
        <f>HI60-MIN(HI60,HH61)</f>
        <v/>
      </c>
      <c r="HJ61">
        <f>HH61-(HI60-HI61)</f>
        <v/>
      </c>
      <c r="HK61">
        <f>MAX(0,HJ61*(1+$E$35)-$F$35)</f>
        <v/>
      </c>
      <c r="HL61">
        <f>HL60-MIN(HL60,HK61)</f>
        <v/>
      </c>
      <c r="HM61">
        <f>HK61-(HL60-HL61)</f>
        <v/>
      </c>
      <c r="HN61">
        <f>MAX(0,HM61*(1+$E$35)-$F$35)</f>
        <v/>
      </c>
      <c r="HO61">
        <f>HO60-MIN(HO60,HN61)</f>
        <v/>
      </c>
      <c r="HP61">
        <f>HN61-(HO60-HO61)</f>
        <v/>
      </c>
      <c r="HQ61">
        <f>MAX(0,HP61*(1+$E$35)-$F$35)</f>
        <v/>
      </c>
      <c r="HR61">
        <f>HR60-MIN(HR60,HQ61)</f>
        <v/>
      </c>
      <c r="HS61">
        <f>HQ61-(HR60-HR61)</f>
        <v/>
      </c>
      <c r="HT61">
        <f>MAX(0,HS61*(1+$E$35)-$F$35)</f>
        <v/>
      </c>
      <c r="HU61">
        <f>HU60-MIN(HU60,HT61)</f>
        <v/>
      </c>
      <c r="HV61">
        <f>HT61-(HU60-HU61)</f>
        <v/>
      </c>
      <c r="HW61">
        <f>MAX(0,HV61*(1+$E$35)-$F$35)</f>
        <v/>
      </c>
      <c r="HX61">
        <f>HX60-MIN(HX60,HW61)</f>
        <v/>
      </c>
      <c r="HY61">
        <f>HW61-(HX60-HX61)</f>
        <v/>
      </c>
      <c r="HZ61">
        <f>MAX(0,HY61*(1+$E$35)-$F$35)</f>
        <v/>
      </c>
      <c r="IA61">
        <f>IA60-MIN(IA60,HZ61)</f>
        <v/>
      </c>
      <c r="IB61">
        <f>HZ61-(IA60-IA61)</f>
        <v/>
      </c>
      <c r="IC61">
        <f>MAX(0,IB61*(1+$E$35)-$F$35)</f>
        <v/>
      </c>
      <c r="ID61">
        <f>ID60-MIN(ID60,IC61)</f>
        <v/>
      </c>
      <c r="IE61">
        <f>IC61-(ID60-ID61)</f>
        <v/>
      </c>
      <c r="IF61">
        <f>MAX(0,IE61*(1+$E$35)-$F$35)</f>
        <v/>
      </c>
      <c r="IG61">
        <f>IG60-MIN(IG60,IF61)</f>
        <v/>
      </c>
      <c r="IH61">
        <f>IF61-(IG60-IG61)</f>
        <v/>
      </c>
      <c r="II61">
        <f>MAX(0,IH61*(1+$E$35)-$F$35)</f>
        <v/>
      </c>
      <c r="IJ61">
        <f>IJ60-MIN(IJ60,II61)</f>
        <v/>
      </c>
      <c r="IK61">
        <f>II61-(IJ60-IJ61)</f>
        <v/>
      </c>
      <c r="IL61">
        <f>MAX(0,IK61*(1+$E$35)-$F$35)</f>
        <v/>
      </c>
      <c r="IM61">
        <f>IM60-MIN(IM60,IL61)</f>
        <v/>
      </c>
      <c r="IN61">
        <f>IL61-(IM60-IM61)</f>
        <v/>
      </c>
      <c r="IO61">
        <f>MAX(0,IN61*(1+$E$35)-$F$35)</f>
        <v/>
      </c>
      <c r="IP61">
        <f>IP60-MIN(IP60,IO61)</f>
        <v/>
      </c>
      <c r="IQ61">
        <f>IO61-(IP60-IP61)</f>
        <v/>
      </c>
      <c r="IR61">
        <f>MAX(0,IQ61*(1+$E$35)-$F$35)</f>
        <v/>
      </c>
      <c r="IS61">
        <f>IS60-MIN(IS60,IR61)</f>
        <v/>
      </c>
      <c r="IT61">
        <f>IR61-(IS60-IS61)</f>
        <v/>
      </c>
      <c r="IU61">
        <f>MAX(0,IT61*(1+$E$35)-$F$35)</f>
        <v/>
      </c>
      <c r="IV61">
        <f>IV60-MIN(IV60,IU61)</f>
        <v/>
      </c>
      <c r="IW61">
        <f>IU61-(IV60-IV61)</f>
        <v/>
      </c>
      <c r="IX61">
        <f>MAX(0,IW61*(1+$E$35)-$F$35)</f>
        <v/>
      </c>
      <c r="IY61">
        <f>IY60-MIN(IY60,IX61)</f>
        <v/>
      </c>
      <c r="IZ61">
        <f>IX61-(IY60-IY61)</f>
        <v/>
      </c>
      <c r="JA61">
        <f>MAX(0,IZ61*(1+$E$35)-$F$35)</f>
        <v/>
      </c>
      <c r="JB61">
        <f>JB60-MIN(JB60,JA61)</f>
        <v/>
      </c>
      <c r="JC61">
        <f>JA61-(JB60-JB61)</f>
        <v/>
      </c>
      <c r="JD61">
        <f>MAX(0,JC61*(1+$E$35)-$F$35)</f>
        <v/>
      </c>
      <c r="JE61">
        <f>JE60-MIN(JE60,JD61)</f>
        <v/>
      </c>
      <c r="JF61">
        <f>JD61-(JE60-JE61)</f>
        <v/>
      </c>
      <c r="JG61">
        <f>MAX(0,JF61*(1+$E$35)-$F$35)</f>
        <v/>
      </c>
      <c r="JH61">
        <f>JH60-MIN(JH60,JG61)</f>
        <v/>
      </c>
      <c r="JI61">
        <f>JG61-(JH60-JH61)</f>
        <v/>
      </c>
      <c r="JJ61">
        <f>MAX(0,JI61*(1+$E$35)-$F$35)</f>
        <v/>
      </c>
      <c r="JK61">
        <f>JK60-MIN(JK60,JJ61)</f>
        <v/>
      </c>
      <c r="JL61">
        <f>JJ61-(JK60-JK61)</f>
        <v/>
      </c>
      <c r="JM61">
        <f>MAX(0,JL61*(1+$E$35)-$F$35)</f>
        <v/>
      </c>
      <c r="JN61">
        <f>JN60-MIN(JN60,JM61)</f>
        <v/>
      </c>
      <c r="JO61">
        <f>JM61-(JN60-JN61)</f>
        <v/>
      </c>
      <c r="JP61">
        <f>MAX(0,JO61*(1+$E$35)-$F$35)</f>
        <v/>
      </c>
      <c r="JQ61">
        <f>JQ60-MIN(JQ60,JP61)</f>
        <v/>
      </c>
      <c r="JR61">
        <f>JP61-(JQ60-JQ61)</f>
        <v/>
      </c>
      <c r="JS61">
        <f>MAX(0,JR61*(1+$E$35)-$F$35)</f>
        <v/>
      </c>
      <c r="JT61">
        <f>JT60-MIN(JT60,JS61)</f>
        <v/>
      </c>
      <c r="JU61">
        <f>JS61-(JT60-JT61)</f>
        <v/>
      </c>
      <c r="JV61">
        <f>MAX(0,JU61*(1+$E$35)-$F$35)</f>
        <v/>
      </c>
      <c r="JW61">
        <f>JW60-MIN(JW60,JV61)</f>
        <v/>
      </c>
      <c r="JX61">
        <f>JV61-(JW60-JW61)</f>
        <v/>
      </c>
      <c r="JY61">
        <f>MAX(0,JX61*(1+$E$35)-$F$35)</f>
        <v/>
      </c>
      <c r="JZ61">
        <f>JZ60-MIN(JZ60,JY61)</f>
        <v/>
      </c>
      <c r="KA61">
        <f>JY61-(JZ60-JZ61)</f>
        <v/>
      </c>
      <c r="KB61">
        <f>MAX(0,KA61*(1+$E$35)-$F$35)</f>
        <v/>
      </c>
      <c r="KC61">
        <f>KC60-MIN(KC60,KB61)</f>
        <v/>
      </c>
      <c r="KD61">
        <f>KB61-(KC60-KC61)</f>
        <v/>
      </c>
      <c r="KE61">
        <f>MAX(0,KD61*(1+$E$35)-$F$35)</f>
        <v/>
      </c>
      <c r="KF61">
        <f>KF60-MIN(KF60,KE61)</f>
        <v/>
      </c>
      <c r="KG61">
        <f>KE61-(KF60-KF61)</f>
        <v/>
      </c>
      <c r="KH61">
        <f>MAX(0,KG61*(1+$E$35)-$F$35)</f>
        <v/>
      </c>
      <c r="KI61">
        <f>KI60-MIN(KI60,KH61)</f>
        <v/>
      </c>
      <c r="KJ61">
        <f>KH61-(KI60-KI61)</f>
        <v/>
      </c>
      <c r="KK61">
        <f>MAX(0,KJ61*(1+$E$35)-$F$35)</f>
        <v/>
      </c>
      <c r="KL61">
        <f>KL60-MIN(KL60,KK61)</f>
        <v/>
      </c>
      <c r="KM61">
        <f>KK61-(KL60-KL61)</f>
        <v/>
      </c>
      <c r="KN61">
        <f>MAX(0,KM61*(1+$E$35)-$F$35)</f>
        <v/>
      </c>
      <c r="KO61">
        <f>KO60-MIN(KO60,KN61)</f>
        <v/>
      </c>
      <c r="KP61">
        <f>KN61-(KO60-KO61)</f>
        <v/>
      </c>
      <c r="KQ61">
        <f>MAX(0,KP61*(1+$E$35)-$F$35)</f>
        <v/>
      </c>
      <c r="KR61">
        <f>KR60-MIN(KR60,KQ61)</f>
        <v/>
      </c>
      <c r="KS61">
        <f>KQ61-(KR60-KR61)</f>
        <v/>
      </c>
      <c r="KT61">
        <f>MAX(0,KS61*(1+$E$35)-$F$35)</f>
        <v/>
      </c>
      <c r="KU61">
        <f>KU60-MIN(KU60,KT61)</f>
        <v/>
      </c>
      <c r="KV61">
        <f>KT61-(KU60-KU61)</f>
        <v/>
      </c>
      <c r="KW61">
        <f>MAX(0,KV61*(1+$E$35)-$F$35)</f>
        <v/>
      </c>
      <c r="KX61">
        <f>KX60-MIN(KX60,KW61)</f>
        <v/>
      </c>
      <c r="KY61">
        <f>KW61-(KX60-KX61)</f>
        <v/>
      </c>
      <c r="KZ61">
        <f>MAX(0,KY61*(1+$E$35)-$F$35)</f>
        <v/>
      </c>
      <c r="LA61">
        <f>LA60-MIN(LA60,KZ61)</f>
        <v/>
      </c>
      <c r="LB61">
        <f>KZ61-(LA60-LA61)</f>
        <v/>
      </c>
      <c r="LC61">
        <f>MAX(0,LB61*(1+$E$35)-$F$35)</f>
        <v/>
      </c>
      <c r="LD61">
        <f>LD60-MIN(LD60,LC61)</f>
        <v/>
      </c>
      <c r="LE61">
        <f>LC61-(LD60-LD61)</f>
        <v/>
      </c>
      <c r="LF61">
        <f>MAX(0,LE61*(1+$E$35)-$F$35)</f>
        <v/>
      </c>
      <c r="LG61">
        <f>LG60-MIN(LG60,LF61)</f>
        <v/>
      </c>
      <c r="LH61">
        <f>LF61-(LG60-LG61)</f>
        <v/>
      </c>
      <c r="LI61">
        <f>MAX(0,LH61*(1+$E$35)-$F$35)</f>
        <v/>
      </c>
      <c r="LJ61">
        <f>LJ60-MIN(LJ60,LI61)</f>
        <v/>
      </c>
      <c r="LK61">
        <f>LI61-(LJ60-LJ61)</f>
        <v/>
      </c>
      <c r="LL61">
        <f>MAX(0,LK61*(1+$E$35)-$F$35)</f>
        <v/>
      </c>
      <c r="LM61">
        <f>LM60-MIN(LM60,LL61)</f>
        <v/>
      </c>
      <c r="LN61">
        <f>LL61-(LM60-LM61)</f>
        <v/>
      </c>
      <c r="LO61">
        <f>MAX(0,LN61*(1+$E$35)-$F$35)</f>
        <v/>
      </c>
      <c r="LP61">
        <f>LP60-MIN(LP60,LO61)</f>
        <v/>
      </c>
      <c r="LQ61">
        <f>LO61-(LP60-LP61)</f>
        <v/>
      </c>
      <c r="LR61">
        <f>MAX(0,LQ61*(1+$E$35)-$F$35)</f>
        <v/>
      </c>
      <c r="LS61">
        <f>LS60-MIN(LS60,LR61)</f>
        <v/>
      </c>
      <c r="LT61">
        <f>LR61-(LS60-LS61)</f>
        <v/>
      </c>
      <c r="LU61">
        <f>MAX(0,LT61*(1+$E$35)-$F$35)</f>
        <v/>
      </c>
      <c r="LV61">
        <f>LV60-MIN(LV60,LU61)</f>
        <v/>
      </c>
      <c r="LW61">
        <f>LU61-(LV60-LV61)</f>
        <v/>
      </c>
      <c r="LX61">
        <f>MAX(0,LW61*(1+$E$35)-$F$35)</f>
        <v/>
      </c>
      <c r="LY61">
        <f>LY60-MIN(LY60,LX61)</f>
        <v/>
      </c>
      <c r="LZ61">
        <f>LX61-(LY60-LY61)</f>
        <v/>
      </c>
      <c r="MA61">
        <f>MAX(0,LZ61*(1+$E$35)-$F$35)</f>
        <v/>
      </c>
      <c r="MB61">
        <f>MB60-MIN(MB60,MA61)</f>
        <v/>
      </c>
      <c r="MC61">
        <f>MA61-(MB60-MB61)</f>
        <v/>
      </c>
      <c r="MD61">
        <f>MAX(0,MC61*(1+$E$35)-$F$35)</f>
        <v/>
      </c>
      <c r="ME61">
        <f>ME60-MIN(ME60,MD61)</f>
        <v/>
      </c>
      <c r="MF61">
        <f>MD61-(ME60-ME61)</f>
        <v/>
      </c>
      <c r="MG61">
        <f>MAX(0,MF61*(1+$E$35)-$F$35)</f>
        <v/>
      </c>
      <c r="MH61">
        <f>MH60-MIN(MH60,MG61)</f>
        <v/>
      </c>
      <c r="MI61">
        <f>MG61-(MH60-MH61)</f>
        <v/>
      </c>
      <c r="MJ61">
        <f>MAX(0,MI61*(1+$E$35)-$F$35)</f>
        <v/>
      </c>
      <c r="MK61">
        <f>MK60-MIN(MK60,MJ61)</f>
        <v/>
      </c>
      <c r="ML61">
        <f>MJ61-(MK60-MK61)</f>
        <v/>
      </c>
      <c r="MM61">
        <f>MAX(0,ML61*(1+$E$35)-$F$35)</f>
        <v/>
      </c>
      <c r="MN61">
        <f>MN60-MIN(MN60,MM61)</f>
        <v/>
      </c>
      <c r="MO61">
        <f>MM61-(MN60-MN61)</f>
        <v/>
      </c>
      <c r="MP61">
        <f>MAX(0,MO61*(1+$E$35)-$F$35)</f>
        <v/>
      </c>
      <c r="MQ61">
        <f>MQ60-MIN(MQ60,MP61)</f>
        <v/>
      </c>
      <c r="MR61">
        <f>MP61-(MQ60-MQ61)</f>
        <v/>
      </c>
      <c r="MS61">
        <f>MAX(0,MR61*(1+$E$35)-$F$35)</f>
        <v/>
      </c>
      <c r="MT61">
        <f>MT60-MIN(MT60,MS61)</f>
        <v/>
      </c>
      <c r="MU61">
        <f>MS61-(MT60-MT61)</f>
        <v/>
      </c>
      <c r="MV61">
        <f>MAX(0,MU61*(1+$E$35)-$F$35)</f>
        <v/>
      </c>
      <c r="MW61">
        <f>MW60-MIN(MW60,MV61)</f>
        <v/>
      </c>
      <c r="MX61">
        <f>MV61-(MW60-MW61)</f>
        <v/>
      </c>
    </row>
    <row r="62">
      <c r="A62" t="inlineStr">
        <is>
          <t>slot 13</t>
        </is>
      </c>
      <c r="B62">
        <f>D36</f>
        <v/>
      </c>
      <c r="C62">
        <f>MAX(0,B62*(1+$E$36)-$F$36)</f>
        <v/>
      </c>
      <c r="D62">
        <f>D61-MIN(D61,C62)</f>
        <v/>
      </c>
      <c r="E62">
        <f>C62-(D61-D62)</f>
        <v/>
      </c>
      <c r="F62">
        <f>MAX(0,E62*(1+$E$36)-$F$36)</f>
        <v/>
      </c>
      <c r="G62">
        <f>G61-MIN(G61,F62)</f>
        <v/>
      </c>
      <c r="H62">
        <f>F62-(G61-G62)</f>
        <v/>
      </c>
      <c r="I62">
        <f>MAX(0,H62*(1+$E$36)-$F$36)</f>
        <v/>
      </c>
      <c r="J62">
        <f>J61-MIN(J61,I62)</f>
        <v/>
      </c>
      <c r="K62">
        <f>I62-(J61-J62)</f>
        <v/>
      </c>
      <c r="L62">
        <f>MAX(0,K62*(1+$E$36)-$F$36)</f>
        <v/>
      </c>
      <c r="M62">
        <f>M61-MIN(M61,L62)</f>
        <v/>
      </c>
      <c r="N62">
        <f>L62-(M61-M62)</f>
        <v/>
      </c>
      <c r="O62">
        <f>MAX(0,N62*(1+$E$36)-$F$36)</f>
        <v/>
      </c>
      <c r="P62">
        <f>P61-MIN(P61,O62)</f>
        <v/>
      </c>
      <c r="Q62">
        <f>O62-(P61-P62)</f>
        <v/>
      </c>
      <c r="R62">
        <f>MAX(0,Q62*(1+$E$36)-$F$36)</f>
        <v/>
      </c>
      <c r="S62">
        <f>S61-MIN(S61,R62)</f>
        <v/>
      </c>
      <c r="T62">
        <f>R62-(S61-S62)</f>
        <v/>
      </c>
      <c r="U62">
        <f>MAX(0,T62*(1+$E$36)-$F$36)</f>
        <v/>
      </c>
      <c r="V62">
        <f>V61-MIN(V61,U62)</f>
        <v/>
      </c>
      <c r="W62">
        <f>U62-(V61-V62)</f>
        <v/>
      </c>
      <c r="X62">
        <f>MAX(0,W62*(1+$E$36)-$F$36)</f>
        <v/>
      </c>
      <c r="Y62">
        <f>Y61-MIN(Y61,X62)</f>
        <v/>
      </c>
      <c r="Z62">
        <f>X62-(Y61-Y62)</f>
        <v/>
      </c>
      <c r="AA62">
        <f>MAX(0,Z62*(1+$E$36)-$F$36)</f>
        <v/>
      </c>
      <c r="AB62">
        <f>AB61-MIN(AB61,AA62)</f>
        <v/>
      </c>
      <c r="AC62">
        <f>AA62-(AB61-AB62)</f>
        <v/>
      </c>
      <c r="AD62">
        <f>MAX(0,AC62*(1+$E$36)-$F$36)</f>
        <v/>
      </c>
      <c r="AE62">
        <f>AE61-MIN(AE61,AD62)</f>
        <v/>
      </c>
      <c r="AF62">
        <f>AD62-(AE61-AE62)</f>
        <v/>
      </c>
      <c r="AG62">
        <f>MAX(0,AF62*(1+$E$36)-$F$36)</f>
        <v/>
      </c>
      <c r="AH62">
        <f>AH61-MIN(AH61,AG62)</f>
        <v/>
      </c>
      <c r="AI62">
        <f>AG62-(AH61-AH62)</f>
        <v/>
      </c>
      <c r="AJ62">
        <f>MAX(0,AI62*(1+$E$36)-$F$36)</f>
        <v/>
      </c>
      <c r="AK62">
        <f>AK61-MIN(AK61,AJ62)</f>
        <v/>
      </c>
      <c r="AL62">
        <f>AJ62-(AK61-AK62)</f>
        <v/>
      </c>
      <c r="AM62">
        <f>MAX(0,AL62*(1+$E$36)-$F$36)</f>
        <v/>
      </c>
      <c r="AN62">
        <f>AN61-MIN(AN61,AM62)</f>
        <v/>
      </c>
      <c r="AO62">
        <f>AM62-(AN61-AN62)</f>
        <v/>
      </c>
      <c r="AP62">
        <f>MAX(0,AO62*(1+$E$36)-$F$36)</f>
        <v/>
      </c>
      <c r="AQ62">
        <f>AQ61-MIN(AQ61,AP62)</f>
        <v/>
      </c>
      <c r="AR62">
        <f>AP62-(AQ61-AQ62)</f>
        <v/>
      </c>
      <c r="AS62">
        <f>MAX(0,AR62*(1+$E$36)-$F$36)</f>
        <v/>
      </c>
      <c r="AT62">
        <f>AT61-MIN(AT61,AS62)</f>
        <v/>
      </c>
      <c r="AU62">
        <f>AS62-(AT61-AT62)</f>
        <v/>
      </c>
      <c r="AV62">
        <f>MAX(0,AU62*(1+$E$36)-$F$36)</f>
        <v/>
      </c>
      <c r="AW62">
        <f>AW61-MIN(AW61,AV62)</f>
        <v/>
      </c>
      <c r="AX62">
        <f>AV62-(AW61-AW62)</f>
        <v/>
      </c>
      <c r="AY62">
        <f>MAX(0,AX62*(1+$E$36)-$F$36)</f>
        <v/>
      </c>
      <c r="AZ62">
        <f>AZ61-MIN(AZ61,AY62)</f>
        <v/>
      </c>
      <c r="BA62">
        <f>AY62-(AZ61-AZ62)</f>
        <v/>
      </c>
      <c r="BB62">
        <f>MAX(0,BA62*(1+$E$36)-$F$36)</f>
        <v/>
      </c>
      <c r="BC62">
        <f>BC61-MIN(BC61,BB62)</f>
        <v/>
      </c>
      <c r="BD62">
        <f>BB62-(BC61-BC62)</f>
        <v/>
      </c>
      <c r="BE62">
        <f>MAX(0,BD62*(1+$E$36)-$F$36)</f>
        <v/>
      </c>
      <c r="BF62">
        <f>BF61-MIN(BF61,BE62)</f>
        <v/>
      </c>
      <c r="BG62">
        <f>BE62-(BF61-BF62)</f>
        <v/>
      </c>
      <c r="BH62">
        <f>MAX(0,BG62*(1+$E$36)-$F$36)</f>
        <v/>
      </c>
      <c r="BI62">
        <f>BI61-MIN(BI61,BH62)</f>
        <v/>
      </c>
      <c r="BJ62">
        <f>BH62-(BI61-BI62)</f>
        <v/>
      </c>
      <c r="BK62">
        <f>MAX(0,BJ62*(1+$E$36)-$F$36)</f>
        <v/>
      </c>
      <c r="BL62">
        <f>BL61-MIN(BL61,BK62)</f>
        <v/>
      </c>
      <c r="BM62">
        <f>BK62-(BL61-BL62)</f>
        <v/>
      </c>
      <c r="BN62">
        <f>MAX(0,BM62*(1+$E$36)-$F$36)</f>
        <v/>
      </c>
      <c r="BO62">
        <f>BO61-MIN(BO61,BN62)</f>
        <v/>
      </c>
      <c r="BP62">
        <f>BN62-(BO61-BO62)</f>
        <v/>
      </c>
      <c r="BQ62">
        <f>MAX(0,BP62*(1+$E$36)-$F$36)</f>
        <v/>
      </c>
      <c r="BR62">
        <f>BR61-MIN(BR61,BQ62)</f>
        <v/>
      </c>
      <c r="BS62">
        <f>BQ62-(BR61-BR62)</f>
        <v/>
      </c>
      <c r="BT62">
        <f>MAX(0,BS62*(1+$E$36)-$F$36)</f>
        <v/>
      </c>
      <c r="BU62">
        <f>BU61-MIN(BU61,BT62)</f>
        <v/>
      </c>
      <c r="BV62">
        <f>BT62-(BU61-BU62)</f>
        <v/>
      </c>
      <c r="BW62">
        <f>MAX(0,BV62*(1+$E$36)-$F$36)</f>
        <v/>
      </c>
      <c r="BX62">
        <f>BX61-MIN(BX61,BW62)</f>
        <v/>
      </c>
      <c r="BY62">
        <f>BW62-(BX61-BX62)</f>
        <v/>
      </c>
      <c r="BZ62">
        <f>MAX(0,BY62*(1+$E$36)-$F$36)</f>
        <v/>
      </c>
      <c r="CA62">
        <f>CA61-MIN(CA61,BZ62)</f>
        <v/>
      </c>
      <c r="CB62">
        <f>BZ62-(CA61-CA62)</f>
        <v/>
      </c>
      <c r="CC62">
        <f>MAX(0,CB62*(1+$E$36)-$F$36)</f>
        <v/>
      </c>
      <c r="CD62">
        <f>CD61-MIN(CD61,CC62)</f>
        <v/>
      </c>
      <c r="CE62">
        <f>CC62-(CD61-CD62)</f>
        <v/>
      </c>
      <c r="CF62">
        <f>MAX(0,CE62*(1+$E$36)-$F$36)</f>
        <v/>
      </c>
      <c r="CG62">
        <f>CG61-MIN(CG61,CF62)</f>
        <v/>
      </c>
      <c r="CH62">
        <f>CF62-(CG61-CG62)</f>
        <v/>
      </c>
      <c r="CI62">
        <f>MAX(0,CH62*(1+$E$36)-$F$36)</f>
        <v/>
      </c>
      <c r="CJ62">
        <f>CJ61-MIN(CJ61,CI62)</f>
        <v/>
      </c>
      <c r="CK62">
        <f>CI62-(CJ61-CJ62)</f>
        <v/>
      </c>
      <c r="CL62">
        <f>MAX(0,CK62*(1+$E$36)-$F$36)</f>
        <v/>
      </c>
      <c r="CM62">
        <f>CM61-MIN(CM61,CL62)</f>
        <v/>
      </c>
      <c r="CN62">
        <f>CL62-(CM61-CM62)</f>
        <v/>
      </c>
      <c r="CO62">
        <f>MAX(0,CN62*(1+$E$36)-$F$36)</f>
        <v/>
      </c>
      <c r="CP62">
        <f>CP61-MIN(CP61,CO62)</f>
        <v/>
      </c>
      <c r="CQ62">
        <f>CO62-(CP61-CP62)</f>
        <v/>
      </c>
      <c r="CR62">
        <f>MAX(0,CQ62*(1+$E$36)-$F$36)</f>
        <v/>
      </c>
      <c r="CS62">
        <f>CS61-MIN(CS61,CR62)</f>
        <v/>
      </c>
      <c r="CT62">
        <f>CR62-(CS61-CS62)</f>
        <v/>
      </c>
      <c r="CU62">
        <f>MAX(0,CT62*(1+$E$36)-$F$36)</f>
        <v/>
      </c>
      <c r="CV62">
        <f>CV61-MIN(CV61,CU62)</f>
        <v/>
      </c>
      <c r="CW62">
        <f>CU62-(CV61-CV62)</f>
        <v/>
      </c>
      <c r="CX62">
        <f>MAX(0,CW62*(1+$E$36)-$F$36)</f>
        <v/>
      </c>
      <c r="CY62">
        <f>CY61-MIN(CY61,CX62)</f>
        <v/>
      </c>
      <c r="CZ62">
        <f>CX62-(CY61-CY62)</f>
        <v/>
      </c>
      <c r="DA62">
        <f>MAX(0,CZ62*(1+$E$36)-$F$36)</f>
        <v/>
      </c>
      <c r="DB62">
        <f>DB61-MIN(DB61,DA62)</f>
        <v/>
      </c>
      <c r="DC62">
        <f>DA62-(DB61-DB62)</f>
        <v/>
      </c>
      <c r="DD62">
        <f>MAX(0,DC62*(1+$E$36)-$F$36)</f>
        <v/>
      </c>
      <c r="DE62">
        <f>DE61-MIN(DE61,DD62)</f>
        <v/>
      </c>
      <c r="DF62">
        <f>DD62-(DE61-DE62)</f>
        <v/>
      </c>
      <c r="DG62">
        <f>MAX(0,DF62*(1+$E$36)-$F$36)</f>
        <v/>
      </c>
      <c r="DH62">
        <f>DH61-MIN(DH61,DG62)</f>
        <v/>
      </c>
      <c r="DI62">
        <f>DG62-(DH61-DH62)</f>
        <v/>
      </c>
      <c r="DJ62">
        <f>MAX(0,DI62*(1+$E$36)-$F$36)</f>
        <v/>
      </c>
      <c r="DK62">
        <f>DK61-MIN(DK61,DJ62)</f>
        <v/>
      </c>
      <c r="DL62">
        <f>DJ62-(DK61-DK62)</f>
        <v/>
      </c>
      <c r="DM62">
        <f>MAX(0,DL62*(1+$E$36)-$F$36)</f>
        <v/>
      </c>
      <c r="DN62">
        <f>DN61-MIN(DN61,DM62)</f>
        <v/>
      </c>
      <c r="DO62">
        <f>DM62-(DN61-DN62)</f>
        <v/>
      </c>
      <c r="DP62">
        <f>MAX(0,DO62*(1+$E$36)-$F$36)</f>
        <v/>
      </c>
      <c r="DQ62">
        <f>DQ61-MIN(DQ61,DP62)</f>
        <v/>
      </c>
      <c r="DR62">
        <f>DP62-(DQ61-DQ62)</f>
        <v/>
      </c>
      <c r="DS62">
        <f>MAX(0,DR62*(1+$E$36)-$F$36)</f>
        <v/>
      </c>
      <c r="DT62">
        <f>DT61-MIN(DT61,DS62)</f>
        <v/>
      </c>
      <c r="DU62">
        <f>DS62-(DT61-DT62)</f>
        <v/>
      </c>
      <c r="DV62">
        <f>MAX(0,DU62*(1+$E$36)-$F$36)</f>
        <v/>
      </c>
      <c r="DW62">
        <f>DW61-MIN(DW61,DV62)</f>
        <v/>
      </c>
      <c r="DX62">
        <f>DV62-(DW61-DW62)</f>
        <v/>
      </c>
      <c r="DY62">
        <f>MAX(0,DX62*(1+$E$36)-$F$36)</f>
        <v/>
      </c>
      <c r="DZ62">
        <f>DZ61-MIN(DZ61,DY62)</f>
        <v/>
      </c>
      <c r="EA62">
        <f>DY62-(DZ61-DZ62)</f>
        <v/>
      </c>
      <c r="EB62">
        <f>MAX(0,EA62*(1+$E$36)-$F$36)</f>
        <v/>
      </c>
      <c r="EC62">
        <f>EC61-MIN(EC61,EB62)</f>
        <v/>
      </c>
      <c r="ED62">
        <f>EB62-(EC61-EC62)</f>
        <v/>
      </c>
      <c r="EE62">
        <f>MAX(0,ED62*(1+$E$36)-$F$36)</f>
        <v/>
      </c>
      <c r="EF62">
        <f>EF61-MIN(EF61,EE62)</f>
        <v/>
      </c>
      <c r="EG62">
        <f>EE62-(EF61-EF62)</f>
        <v/>
      </c>
      <c r="EH62">
        <f>MAX(0,EG62*(1+$E$36)-$F$36)</f>
        <v/>
      </c>
      <c r="EI62">
        <f>EI61-MIN(EI61,EH62)</f>
        <v/>
      </c>
      <c r="EJ62">
        <f>EH62-(EI61-EI62)</f>
        <v/>
      </c>
      <c r="EK62">
        <f>MAX(0,EJ62*(1+$E$36)-$F$36)</f>
        <v/>
      </c>
      <c r="EL62">
        <f>EL61-MIN(EL61,EK62)</f>
        <v/>
      </c>
      <c r="EM62">
        <f>EK62-(EL61-EL62)</f>
        <v/>
      </c>
      <c r="EN62">
        <f>MAX(0,EM62*(1+$E$36)-$F$36)</f>
        <v/>
      </c>
      <c r="EO62">
        <f>EO61-MIN(EO61,EN62)</f>
        <v/>
      </c>
      <c r="EP62">
        <f>EN62-(EO61-EO62)</f>
        <v/>
      </c>
      <c r="EQ62">
        <f>MAX(0,EP62*(1+$E$36)-$F$36)</f>
        <v/>
      </c>
      <c r="ER62">
        <f>ER61-MIN(ER61,EQ62)</f>
        <v/>
      </c>
      <c r="ES62">
        <f>EQ62-(ER61-ER62)</f>
        <v/>
      </c>
      <c r="ET62">
        <f>MAX(0,ES62*(1+$E$36)-$F$36)</f>
        <v/>
      </c>
      <c r="EU62">
        <f>EU61-MIN(EU61,ET62)</f>
        <v/>
      </c>
      <c r="EV62">
        <f>ET62-(EU61-EU62)</f>
        <v/>
      </c>
      <c r="EW62">
        <f>MAX(0,EV62*(1+$E$36)-$F$36)</f>
        <v/>
      </c>
      <c r="EX62">
        <f>EX61-MIN(EX61,EW62)</f>
        <v/>
      </c>
      <c r="EY62">
        <f>EW62-(EX61-EX62)</f>
        <v/>
      </c>
      <c r="EZ62">
        <f>MAX(0,EY62*(1+$E$36)-$F$36)</f>
        <v/>
      </c>
      <c r="FA62">
        <f>FA61-MIN(FA61,EZ62)</f>
        <v/>
      </c>
      <c r="FB62">
        <f>EZ62-(FA61-FA62)</f>
        <v/>
      </c>
      <c r="FC62">
        <f>MAX(0,FB62*(1+$E$36)-$F$36)</f>
        <v/>
      </c>
      <c r="FD62">
        <f>FD61-MIN(FD61,FC62)</f>
        <v/>
      </c>
      <c r="FE62">
        <f>FC62-(FD61-FD62)</f>
        <v/>
      </c>
      <c r="FF62">
        <f>MAX(0,FE62*(1+$E$36)-$F$36)</f>
        <v/>
      </c>
      <c r="FG62">
        <f>FG61-MIN(FG61,FF62)</f>
        <v/>
      </c>
      <c r="FH62">
        <f>FF62-(FG61-FG62)</f>
        <v/>
      </c>
      <c r="FI62">
        <f>MAX(0,FH62*(1+$E$36)-$F$36)</f>
        <v/>
      </c>
      <c r="FJ62">
        <f>FJ61-MIN(FJ61,FI62)</f>
        <v/>
      </c>
      <c r="FK62">
        <f>FI62-(FJ61-FJ62)</f>
        <v/>
      </c>
      <c r="FL62">
        <f>MAX(0,FK62*(1+$E$36)-$F$36)</f>
        <v/>
      </c>
      <c r="FM62">
        <f>FM61-MIN(FM61,FL62)</f>
        <v/>
      </c>
      <c r="FN62">
        <f>FL62-(FM61-FM62)</f>
        <v/>
      </c>
      <c r="FO62">
        <f>MAX(0,FN62*(1+$E$36)-$F$36)</f>
        <v/>
      </c>
      <c r="FP62">
        <f>FP61-MIN(FP61,FO62)</f>
        <v/>
      </c>
      <c r="FQ62">
        <f>FO62-(FP61-FP62)</f>
        <v/>
      </c>
      <c r="FR62">
        <f>MAX(0,FQ62*(1+$E$36)-$F$36)</f>
        <v/>
      </c>
      <c r="FS62">
        <f>FS61-MIN(FS61,FR62)</f>
        <v/>
      </c>
      <c r="FT62">
        <f>FR62-(FS61-FS62)</f>
        <v/>
      </c>
      <c r="FU62">
        <f>MAX(0,FT62*(1+$E$36)-$F$36)</f>
        <v/>
      </c>
      <c r="FV62">
        <f>FV61-MIN(FV61,FU62)</f>
        <v/>
      </c>
      <c r="FW62">
        <f>FU62-(FV61-FV62)</f>
        <v/>
      </c>
      <c r="FX62">
        <f>MAX(0,FW62*(1+$E$36)-$F$36)</f>
        <v/>
      </c>
      <c r="FY62">
        <f>FY61-MIN(FY61,FX62)</f>
        <v/>
      </c>
      <c r="FZ62">
        <f>FX62-(FY61-FY62)</f>
        <v/>
      </c>
      <c r="GA62">
        <f>MAX(0,FZ62*(1+$E$36)-$F$36)</f>
        <v/>
      </c>
      <c r="GB62">
        <f>GB61-MIN(GB61,GA62)</f>
        <v/>
      </c>
      <c r="GC62">
        <f>GA62-(GB61-GB62)</f>
        <v/>
      </c>
      <c r="GD62">
        <f>MAX(0,GC62*(1+$E$36)-$F$36)</f>
        <v/>
      </c>
      <c r="GE62">
        <f>GE61-MIN(GE61,GD62)</f>
        <v/>
      </c>
      <c r="GF62">
        <f>GD62-(GE61-GE62)</f>
        <v/>
      </c>
      <c r="GG62">
        <f>MAX(0,GF62*(1+$E$36)-$F$36)</f>
        <v/>
      </c>
      <c r="GH62">
        <f>GH61-MIN(GH61,GG62)</f>
        <v/>
      </c>
      <c r="GI62">
        <f>GG62-(GH61-GH62)</f>
        <v/>
      </c>
      <c r="GJ62">
        <f>MAX(0,GI62*(1+$E$36)-$F$36)</f>
        <v/>
      </c>
      <c r="GK62">
        <f>GK61-MIN(GK61,GJ62)</f>
        <v/>
      </c>
      <c r="GL62">
        <f>GJ62-(GK61-GK62)</f>
        <v/>
      </c>
      <c r="GM62">
        <f>MAX(0,GL62*(1+$E$36)-$F$36)</f>
        <v/>
      </c>
      <c r="GN62">
        <f>GN61-MIN(GN61,GM62)</f>
        <v/>
      </c>
      <c r="GO62">
        <f>GM62-(GN61-GN62)</f>
        <v/>
      </c>
      <c r="GP62">
        <f>MAX(0,GO62*(1+$E$36)-$F$36)</f>
        <v/>
      </c>
      <c r="GQ62">
        <f>GQ61-MIN(GQ61,GP62)</f>
        <v/>
      </c>
      <c r="GR62">
        <f>GP62-(GQ61-GQ62)</f>
        <v/>
      </c>
      <c r="GS62">
        <f>MAX(0,GR62*(1+$E$36)-$F$36)</f>
        <v/>
      </c>
      <c r="GT62">
        <f>GT61-MIN(GT61,GS62)</f>
        <v/>
      </c>
      <c r="GU62">
        <f>GS62-(GT61-GT62)</f>
        <v/>
      </c>
      <c r="GV62">
        <f>MAX(0,GU62*(1+$E$36)-$F$36)</f>
        <v/>
      </c>
      <c r="GW62">
        <f>GW61-MIN(GW61,GV62)</f>
        <v/>
      </c>
      <c r="GX62">
        <f>GV62-(GW61-GW62)</f>
        <v/>
      </c>
      <c r="GY62">
        <f>MAX(0,GX62*(1+$E$36)-$F$36)</f>
        <v/>
      </c>
      <c r="GZ62">
        <f>GZ61-MIN(GZ61,GY62)</f>
        <v/>
      </c>
      <c r="HA62">
        <f>GY62-(GZ61-GZ62)</f>
        <v/>
      </c>
      <c r="HB62">
        <f>MAX(0,HA62*(1+$E$36)-$F$36)</f>
        <v/>
      </c>
      <c r="HC62">
        <f>HC61-MIN(HC61,HB62)</f>
        <v/>
      </c>
      <c r="HD62">
        <f>HB62-(HC61-HC62)</f>
        <v/>
      </c>
      <c r="HE62">
        <f>MAX(0,HD62*(1+$E$36)-$F$36)</f>
        <v/>
      </c>
      <c r="HF62">
        <f>HF61-MIN(HF61,HE62)</f>
        <v/>
      </c>
      <c r="HG62">
        <f>HE62-(HF61-HF62)</f>
        <v/>
      </c>
      <c r="HH62">
        <f>MAX(0,HG62*(1+$E$36)-$F$36)</f>
        <v/>
      </c>
      <c r="HI62">
        <f>HI61-MIN(HI61,HH62)</f>
        <v/>
      </c>
      <c r="HJ62">
        <f>HH62-(HI61-HI62)</f>
        <v/>
      </c>
      <c r="HK62">
        <f>MAX(0,HJ62*(1+$E$36)-$F$36)</f>
        <v/>
      </c>
      <c r="HL62">
        <f>HL61-MIN(HL61,HK62)</f>
        <v/>
      </c>
      <c r="HM62">
        <f>HK62-(HL61-HL62)</f>
        <v/>
      </c>
      <c r="HN62">
        <f>MAX(0,HM62*(1+$E$36)-$F$36)</f>
        <v/>
      </c>
      <c r="HO62">
        <f>HO61-MIN(HO61,HN62)</f>
        <v/>
      </c>
      <c r="HP62">
        <f>HN62-(HO61-HO62)</f>
        <v/>
      </c>
      <c r="HQ62">
        <f>MAX(0,HP62*(1+$E$36)-$F$36)</f>
        <v/>
      </c>
      <c r="HR62">
        <f>HR61-MIN(HR61,HQ62)</f>
        <v/>
      </c>
      <c r="HS62">
        <f>HQ62-(HR61-HR62)</f>
        <v/>
      </c>
      <c r="HT62">
        <f>MAX(0,HS62*(1+$E$36)-$F$36)</f>
        <v/>
      </c>
      <c r="HU62">
        <f>HU61-MIN(HU61,HT62)</f>
        <v/>
      </c>
      <c r="HV62">
        <f>HT62-(HU61-HU62)</f>
        <v/>
      </c>
      <c r="HW62">
        <f>MAX(0,HV62*(1+$E$36)-$F$36)</f>
        <v/>
      </c>
      <c r="HX62">
        <f>HX61-MIN(HX61,HW62)</f>
        <v/>
      </c>
      <c r="HY62">
        <f>HW62-(HX61-HX62)</f>
        <v/>
      </c>
      <c r="HZ62">
        <f>MAX(0,HY62*(1+$E$36)-$F$36)</f>
        <v/>
      </c>
      <c r="IA62">
        <f>IA61-MIN(IA61,HZ62)</f>
        <v/>
      </c>
      <c r="IB62">
        <f>HZ62-(IA61-IA62)</f>
        <v/>
      </c>
      <c r="IC62">
        <f>MAX(0,IB62*(1+$E$36)-$F$36)</f>
        <v/>
      </c>
      <c r="ID62">
        <f>ID61-MIN(ID61,IC62)</f>
        <v/>
      </c>
      <c r="IE62">
        <f>IC62-(ID61-ID62)</f>
        <v/>
      </c>
      <c r="IF62">
        <f>MAX(0,IE62*(1+$E$36)-$F$36)</f>
        <v/>
      </c>
      <c r="IG62">
        <f>IG61-MIN(IG61,IF62)</f>
        <v/>
      </c>
      <c r="IH62">
        <f>IF62-(IG61-IG62)</f>
        <v/>
      </c>
      <c r="II62">
        <f>MAX(0,IH62*(1+$E$36)-$F$36)</f>
        <v/>
      </c>
      <c r="IJ62">
        <f>IJ61-MIN(IJ61,II62)</f>
        <v/>
      </c>
      <c r="IK62">
        <f>II62-(IJ61-IJ62)</f>
        <v/>
      </c>
      <c r="IL62">
        <f>MAX(0,IK62*(1+$E$36)-$F$36)</f>
        <v/>
      </c>
      <c r="IM62">
        <f>IM61-MIN(IM61,IL62)</f>
        <v/>
      </c>
      <c r="IN62">
        <f>IL62-(IM61-IM62)</f>
        <v/>
      </c>
      <c r="IO62">
        <f>MAX(0,IN62*(1+$E$36)-$F$36)</f>
        <v/>
      </c>
      <c r="IP62">
        <f>IP61-MIN(IP61,IO62)</f>
        <v/>
      </c>
      <c r="IQ62">
        <f>IO62-(IP61-IP62)</f>
        <v/>
      </c>
      <c r="IR62">
        <f>MAX(0,IQ62*(1+$E$36)-$F$36)</f>
        <v/>
      </c>
      <c r="IS62">
        <f>IS61-MIN(IS61,IR62)</f>
        <v/>
      </c>
      <c r="IT62">
        <f>IR62-(IS61-IS62)</f>
        <v/>
      </c>
      <c r="IU62">
        <f>MAX(0,IT62*(1+$E$36)-$F$36)</f>
        <v/>
      </c>
      <c r="IV62">
        <f>IV61-MIN(IV61,IU62)</f>
        <v/>
      </c>
      <c r="IW62">
        <f>IU62-(IV61-IV62)</f>
        <v/>
      </c>
      <c r="IX62">
        <f>MAX(0,IW62*(1+$E$36)-$F$36)</f>
        <v/>
      </c>
      <c r="IY62">
        <f>IY61-MIN(IY61,IX62)</f>
        <v/>
      </c>
      <c r="IZ62">
        <f>IX62-(IY61-IY62)</f>
        <v/>
      </c>
      <c r="JA62">
        <f>MAX(0,IZ62*(1+$E$36)-$F$36)</f>
        <v/>
      </c>
      <c r="JB62">
        <f>JB61-MIN(JB61,JA62)</f>
        <v/>
      </c>
      <c r="JC62">
        <f>JA62-(JB61-JB62)</f>
        <v/>
      </c>
      <c r="JD62">
        <f>MAX(0,JC62*(1+$E$36)-$F$36)</f>
        <v/>
      </c>
      <c r="JE62">
        <f>JE61-MIN(JE61,JD62)</f>
        <v/>
      </c>
      <c r="JF62">
        <f>JD62-(JE61-JE62)</f>
        <v/>
      </c>
      <c r="JG62">
        <f>MAX(0,JF62*(1+$E$36)-$F$36)</f>
        <v/>
      </c>
      <c r="JH62">
        <f>JH61-MIN(JH61,JG62)</f>
        <v/>
      </c>
      <c r="JI62">
        <f>JG62-(JH61-JH62)</f>
        <v/>
      </c>
      <c r="JJ62">
        <f>MAX(0,JI62*(1+$E$36)-$F$36)</f>
        <v/>
      </c>
      <c r="JK62">
        <f>JK61-MIN(JK61,JJ62)</f>
        <v/>
      </c>
      <c r="JL62">
        <f>JJ62-(JK61-JK62)</f>
        <v/>
      </c>
      <c r="JM62">
        <f>MAX(0,JL62*(1+$E$36)-$F$36)</f>
        <v/>
      </c>
      <c r="JN62">
        <f>JN61-MIN(JN61,JM62)</f>
        <v/>
      </c>
      <c r="JO62">
        <f>JM62-(JN61-JN62)</f>
        <v/>
      </c>
      <c r="JP62">
        <f>MAX(0,JO62*(1+$E$36)-$F$36)</f>
        <v/>
      </c>
      <c r="JQ62">
        <f>JQ61-MIN(JQ61,JP62)</f>
        <v/>
      </c>
      <c r="JR62">
        <f>JP62-(JQ61-JQ62)</f>
        <v/>
      </c>
      <c r="JS62">
        <f>MAX(0,JR62*(1+$E$36)-$F$36)</f>
        <v/>
      </c>
      <c r="JT62">
        <f>JT61-MIN(JT61,JS62)</f>
        <v/>
      </c>
      <c r="JU62">
        <f>JS62-(JT61-JT62)</f>
        <v/>
      </c>
      <c r="JV62">
        <f>MAX(0,JU62*(1+$E$36)-$F$36)</f>
        <v/>
      </c>
      <c r="JW62">
        <f>JW61-MIN(JW61,JV62)</f>
        <v/>
      </c>
      <c r="JX62">
        <f>JV62-(JW61-JW62)</f>
        <v/>
      </c>
      <c r="JY62">
        <f>MAX(0,JX62*(1+$E$36)-$F$36)</f>
        <v/>
      </c>
      <c r="JZ62">
        <f>JZ61-MIN(JZ61,JY62)</f>
        <v/>
      </c>
      <c r="KA62">
        <f>JY62-(JZ61-JZ62)</f>
        <v/>
      </c>
      <c r="KB62">
        <f>MAX(0,KA62*(1+$E$36)-$F$36)</f>
        <v/>
      </c>
      <c r="KC62">
        <f>KC61-MIN(KC61,KB62)</f>
        <v/>
      </c>
      <c r="KD62">
        <f>KB62-(KC61-KC62)</f>
        <v/>
      </c>
      <c r="KE62">
        <f>MAX(0,KD62*(1+$E$36)-$F$36)</f>
        <v/>
      </c>
      <c r="KF62">
        <f>KF61-MIN(KF61,KE62)</f>
        <v/>
      </c>
      <c r="KG62">
        <f>KE62-(KF61-KF62)</f>
        <v/>
      </c>
      <c r="KH62">
        <f>MAX(0,KG62*(1+$E$36)-$F$36)</f>
        <v/>
      </c>
      <c r="KI62">
        <f>KI61-MIN(KI61,KH62)</f>
        <v/>
      </c>
      <c r="KJ62">
        <f>KH62-(KI61-KI62)</f>
        <v/>
      </c>
      <c r="KK62">
        <f>MAX(0,KJ62*(1+$E$36)-$F$36)</f>
        <v/>
      </c>
      <c r="KL62">
        <f>KL61-MIN(KL61,KK62)</f>
        <v/>
      </c>
      <c r="KM62">
        <f>KK62-(KL61-KL62)</f>
        <v/>
      </c>
      <c r="KN62">
        <f>MAX(0,KM62*(1+$E$36)-$F$36)</f>
        <v/>
      </c>
      <c r="KO62">
        <f>KO61-MIN(KO61,KN62)</f>
        <v/>
      </c>
      <c r="KP62">
        <f>KN62-(KO61-KO62)</f>
        <v/>
      </c>
      <c r="KQ62">
        <f>MAX(0,KP62*(1+$E$36)-$F$36)</f>
        <v/>
      </c>
      <c r="KR62">
        <f>KR61-MIN(KR61,KQ62)</f>
        <v/>
      </c>
      <c r="KS62">
        <f>KQ62-(KR61-KR62)</f>
        <v/>
      </c>
      <c r="KT62">
        <f>MAX(0,KS62*(1+$E$36)-$F$36)</f>
        <v/>
      </c>
      <c r="KU62">
        <f>KU61-MIN(KU61,KT62)</f>
        <v/>
      </c>
      <c r="KV62">
        <f>KT62-(KU61-KU62)</f>
        <v/>
      </c>
      <c r="KW62">
        <f>MAX(0,KV62*(1+$E$36)-$F$36)</f>
        <v/>
      </c>
      <c r="KX62">
        <f>KX61-MIN(KX61,KW62)</f>
        <v/>
      </c>
      <c r="KY62">
        <f>KW62-(KX61-KX62)</f>
        <v/>
      </c>
      <c r="KZ62">
        <f>MAX(0,KY62*(1+$E$36)-$F$36)</f>
        <v/>
      </c>
      <c r="LA62">
        <f>LA61-MIN(LA61,KZ62)</f>
        <v/>
      </c>
      <c r="LB62">
        <f>KZ62-(LA61-LA62)</f>
        <v/>
      </c>
      <c r="LC62">
        <f>MAX(0,LB62*(1+$E$36)-$F$36)</f>
        <v/>
      </c>
      <c r="LD62">
        <f>LD61-MIN(LD61,LC62)</f>
        <v/>
      </c>
      <c r="LE62">
        <f>LC62-(LD61-LD62)</f>
        <v/>
      </c>
      <c r="LF62">
        <f>MAX(0,LE62*(1+$E$36)-$F$36)</f>
        <v/>
      </c>
      <c r="LG62">
        <f>LG61-MIN(LG61,LF62)</f>
        <v/>
      </c>
      <c r="LH62">
        <f>LF62-(LG61-LG62)</f>
        <v/>
      </c>
      <c r="LI62">
        <f>MAX(0,LH62*(1+$E$36)-$F$36)</f>
        <v/>
      </c>
      <c r="LJ62">
        <f>LJ61-MIN(LJ61,LI62)</f>
        <v/>
      </c>
      <c r="LK62">
        <f>LI62-(LJ61-LJ62)</f>
        <v/>
      </c>
      <c r="LL62">
        <f>MAX(0,LK62*(1+$E$36)-$F$36)</f>
        <v/>
      </c>
      <c r="LM62">
        <f>LM61-MIN(LM61,LL62)</f>
        <v/>
      </c>
      <c r="LN62">
        <f>LL62-(LM61-LM62)</f>
        <v/>
      </c>
      <c r="LO62">
        <f>MAX(0,LN62*(1+$E$36)-$F$36)</f>
        <v/>
      </c>
      <c r="LP62">
        <f>LP61-MIN(LP61,LO62)</f>
        <v/>
      </c>
      <c r="LQ62">
        <f>LO62-(LP61-LP62)</f>
        <v/>
      </c>
      <c r="LR62">
        <f>MAX(0,LQ62*(1+$E$36)-$F$36)</f>
        <v/>
      </c>
      <c r="LS62">
        <f>LS61-MIN(LS61,LR62)</f>
        <v/>
      </c>
      <c r="LT62">
        <f>LR62-(LS61-LS62)</f>
        <v/>
      </c>
      <c r="LU62">
        <f>MAX(0,LT62*(1+$E$36)-$F$36)</f>
        <v/>
      </c>
      <c r="LV62">
        <f>LV61-MIN(LV61,LU62)</f>
        <v/>
      </c>
      <c r="LW62">
        <f>LU62-(LV61-LV62)</f>
        <v/>
      </c>
      <c r="LX62">
        <f>MAX(0,LW62*(1+$E$36)-$F$36)</f>
        <v/>
      </c>
      <c r="LY62">
        <f>LY61-MIN(LY61,LX62)</f>
        <v/>
      </c>
      <c r="LZ62">
        <f>LX62-(LY61-LY62)</f>
        <v/>
      </c>
      <c r="MA62">
        <f>MAX(0,LZ62*(1+$E$36)-$F$36)</f>
        <v/>
      </c>
      <c r="MB62">
        <f>MB61-MIN(MB61,MA62)</f>
        <v/>
      </c>
      <c r="MC62">
        <f>MA62-(MB61-MB62)</f>
        <v/>
      </c>
      <c r="MD62">
        <f>MAX(0,MC62*(1+$E$36)-$F$36)</f>
        <v/>
      </c>
      <c r="ME62">
        <f>ME61-MIN(ME61,MD62)</f>
        <v/>
      </c>
      <c r="MF62">
        <f>MD62-(ME61-ME62)</f>
        <v/>
      </c>
      <c r="MG62">
        <f>MAX(0,MF62*(1+$E$36)-$F$36)</f>
        <v/>
      </c>
      <c r="MH62">
        <f>MH61-MIN(MH61,MG62)</f>
        <v/>
      </c>
      <c r="MI62">
        <f>MG62-(MH61-MH62)</f>
        <v/>
      </c>
      <c r="MJ62">
        <f>MAX(0,MI62*(1+$E$36)-$F$36)</f>
        <v/>
      </c>
      <c r="MK62">
        <f>MK61-MIN(MK61,MJ62)</f>
        <v/>
      </c>
      <c r="ML62">
        <f>MJ62-(MK61-MK62)</f>
        <v/>
      </c>
      <c r="MM62">
        <f>MAX(0,ML62*(1+$E$36)-$F$36)</f>
        <v/>
      </c>
      <c r="MN62">
        <f>MN61-MIN(MN61,MM62)</f>
        <v/>
      </c>
      <c r="MO62">
        <f>MM62-(MN61-MN62)</f>
        <v/>
      </c>
      <c r="MP62">
        <f>MAX(0,MO62*(1+$E$36)-$F$36)</f>
        <v/>
      </c>
      <c r="MQ62">
        <f>MQ61-MIN(MQ61,MP62)</f>
        <v/>
      </c>
      <c r="MR62">
        <f>MP62-(MQ61-MQ62)</f>
        <v/>
      </c>
      <c r="MS62">
        <f>MAX(0,MR62*(1+$E$36)-$F$36)</f>
        <v/>
      </c>
      <c r="MT62">
        <f>MT61-MIN(MT61,MS62)</f>
        <v/>
      </c>
      <c r="MU62">
        <f>MS62-(MT61-MT62)</f>
        <v/>
      </c>
      <c r="MV62">
        <f>MAX(0,MU62*(1+$E$36)-$F$36)</f>
        <v/>
      </c>
      <c r="MW62">
        <f>MW61-MIN(MW61,MV62)</f>
        <v/>
      </c>
      <c r="MX62">
        <f>MV62-(MW61-MW62)</f>
        <v/>
      </c>
    </row>
    <row r="63">
      <c r="A63" t="inlineStr">
        <is>
          <t>slot 14</t>
        </is>
      </c>
      <c r="B63">
        <f>D37</f>
        <v/>
      </c>
      <c r="C63">
        <f>MAX(0,B63*(1+$E$37)-$F$37)</f>
        <v/>
      </c>
      <c r="D63">
        <f>D62-MIN(D62,C63)</f>
        <v/>
      </c>
      <c r="E63">
        <f>C63-(D62-D63)</f>
        <v/>
      </c>
      <c r="F63">
        <f>MAX(0,E63*(1+$E$37)-$F$37)</f>
        <v/>
      </c>
      <c r="G63">
        <f>G62-MIN(G62,F63)</f>
        <v/>
      </c>
      <c r="H63">
        <f>F63-(G62-G63)</f>
        <v/>
      </c>
      <c r="I63">
        <f>MAX(0,H63*(1+$E$37)-$F$37)</f>
        <v/>
      </c>
      <c r="J63">
        <f>J62-MIN(J62,I63)</f>
        <v/>
      </c>
      <c r="K63">
        <f>I63-(J62-J63)</f>
        <v/>
      </c>
      <c r="L63">
        <f>MAX(0,K63*(1+$E$37)-$F$37)</f>
        <v/>
      </c>
      <c r="M63">
        <f>M62-MIN(M62,L63)</f>
        <v/>
      </c>
      <c r="N63">
        <f>L63-(M62-M63)</f>
        <v/>
      </c>
      <c r="O63">
        <f>MAX(0,N63*(1+$E$37)-$F$37)</f>
        <v/>
      </c>
      <c r="P63">
        <f>P62-MIN(P62,O63)</f>
        <v/>
      </c>
      <c r="Q63">
        <f>O63-(P62-P63)</f>
        <v/>
      </c>
      <c r="R63">
        <f>MAX(0,Q63*(1+$E$37)-$F$37)</f>
        <v/>
      </c>
      <c r="S63">
        <f>S62-MIN(S62,R63)</f>
        <v/>
      </c>
      <c r="T63">
        <f>R63-(S62-S63)</f>
        <v/>
      </c>
      <c r="U63">
        <f>MAX(0,T63*(1+$E$37)-$F$37)</f>
        <v/>
      </c>
      <c r="V63">
        <f>V62-MIN(V62,U63)</f>
        <v/>
      </c>
      <c r="W63">
        <f>U63-(V62-V63)</f>
        <v/>
      </c>
      <c r="X63">
        <f>MAX(0,W63*(1+$E$37)-$F$37)</f>
        <v/>
      </c>
      <c r="Y63">
        <f>Y62-MIN(Y62,X63)</f>
        <v/>
      </c>
      <c r="Z63">
        <f>X63-(Y62-Y63)</f>
        <v/>
      </c>
      <c r="AA63">
        <f>MAX(0,Z63*(1+$E$37)-$F$37)</f>
        <v/>
      </c>
      <c r="AB63">
        <f>AB62-MIN(AB62,AA63)</f>
        <v/>
      </c>
      <c r="AC63">
        <f>AA63-(AB62-AB63)</f>
        <v/>
      </c>
      <c r="AD63">
        <f>MAX(0,AC63*(1+$E$37)-$F$37)</f>
        <v/>
      </c>
      <c r="AE63">
        <f>AE62-MIN(AE62,AD63)</f>
        <v/>
      </c>
      <c r="AF63">
        <f>AD63-(AE62-AE63)</f>
        <v/>
      </c>
      <c r="AG63">
        <f>MAX(0,AF63*(1+$E$37)-$F$37)</f>
        <v/>
      </c>
      <c r="AH63">
        <f>AH62-MIN(AH62,AG63)</f>
        <v/>
      </c>
      <c r="AI63">
        <f>AG63-(AH62-AH63)</f>
        <v/>
      </c>
      <c r="AJ63">
        <f>MAX(0,AI63*(1+$E$37)-$F$37)</f>
        <v/>
      </c>
      <c r="AK63">
        <f>AK62-MIN(AK62,AJ63)</f>
        <v/>
      </c>
      <c r="AL63">
        <f>AJ63-(AK62-AK63)</f>
        <v/>
      </c>
      <c r="AM63">
        <f>MAX(0,AL63*(1+$E$37)-$F$37)</f>
        <v/>
      </c>
      <c r="AN63">
        <f>AN62-MIN(AN62,AM63)</f>
        <v/>
      </c>
      <c r="AO63">
        <f>AM63-(AN62-AN63)</f>
        <v/>
      </c>
      <c r="AP63">
        <f>MAX(0,AO63*(1+$E$37)-$F$37)</f>
        <v/>
      </c>
      <c r="AQ63">
        <f>AQ62-MIN(AQ62,AP63)</f>
        <v/>
      </c>
      <c r="AR63">
        <f>AP63-(AQ62-AQ63)</f>
        <v/>
      </c>
      <c r="AS63">
        <f>MAX(0,AR63*(1+$E$37)-$F$37)</f>
        <v/>
      </c>
      <c r="AT63">
        <f>AT62-MIN(AT62,AS63)</f>
        <v/>
      </c>
      <c r="AU63">
        <f>AS63-(AT62-AT63)</f>
        <v/>
      </c>
      <c r="AV63">
        <f>MAX(0,AU63*(1+$E$37)-$F$37)</f>
        <v/>
      </c>
      <c r="AW63">
        <f>AW62-MIN(AW62,AV63)</f>
        <v/>
      </c>
      <c r="AX63">
        <f>AV63-(AW62-AW63)</f>
        <v/>
      </c>
      <c r="AY63">
        <f>MAX(0,AX63*(1+$E$37)-$F$37)</f>
        <v/>
      </c>
      <c r="AZ63">
        <f>AZ62-MIN(AZ62,AY63)</f>
        <v/>
      </c>
      <c r="BA63">
        <f>AY63-(AZ62-AZ63)</f>
        <v/>
      </c>
      <c r="BB63">
        <f>MAX(0,BA63*(1+$E$37)-$F$37)</f>
        <v/>
      </c>
      <c r="BC63">
        <f>BC62-MIN(BC62,BB63)</f>
        <v/>
      </c>
      <c r="BD63">
        <f>BB63-(BC62-BC63)</f>
        <v/>
      </c>
      <c r="BE63">
        <f>MAX(0,BD63*(1+$E$37)-$F$37)</f>
        <v/>
      </c>
      <c r="BF63">
        <f>BF62-MIN(BF62,BE63)</f>
        <v/>
      </c>
      <c r="BG63">
        <f>BE63-(BF62-BF63)</f>
        <v/>
      </c>
      <c r="BH63">
        <f>MAX(0,BG63*(1+$E$37)-$F$37)</f>
        <v/>
      </c>
      <c r="BI63">
        <f>BI62-MIN(BI62,BH63)</f>
        <v/>
      </c>
      <c r="BJ63">
        <f>BH63-(BI62-BI63)</f>
        <v/>
      </c>
      <c r="BK63">
        <f>MAX(0,BJ63*(1+$E$37)-$F$37)</f>
        <v/>
      </c>
      <c r="BL63">
        <f>BL62-MIN(BL62,BK63)</f>
        <v/>
      </c>
      <c r="BM63">
        <f>BK63-(BL62-BL63)</f>
        <v/>
      </c>
      <c r="BN63">
        <f>MAX(0,BM63*(1+$E$37)-$F$37)</f>
        <v/>
      </c>
      <c r="BO63">
        <f>BO62-MIN(BO62,BN63)</f>
        <v/>
      </c>
      <c r="BP63">
        <f>BN63-(BO62-BO63)</f>
        <v/>
      </c>
      <c r="BQ63">
        <f>MAX(0,BP63*(1+$E$37)-$F$37)</f>
        <v/>
      </c>
      <c r="BR63">
        <f>BR62-MIN(BR62,BQ63)</f>
        <v/>
      </c>
      <c r="BS63">
        <f>BQ63-(BR62-BR63)</f>
        <v/>
      </c>
      <c r="BT63">
        <f>MAX(0,BS63*(1+$E$37)-$F$37)</f>
        <v/>
      </c>
      <c r="BU63">
        <f>BU62-MIN(BU62,BT63)</f>
        <v/>
      </c>
      <c r="BV63">
        <f>BT63-(BU62-BU63)</f>
        <v/>
      </c>
      <c r="BW63">
        <f>MAX(0,BV63*(1+$E$37)-$F$37)</f>
        <v/>
      </c>
      <c r="BX63">
        <f>BX62-MIN(BX62,BW63)</f>
        <v/>
      </c>
      <c r="BY63">
        <f>BW63-(BX62-BX63)</f>
        <v/>
      </c>
      <c r="BZ63">
        <f>MAX(0,BY63*(1+$E$37)-$F$37)</f>
        <v/>
      </c>
      <c r="CA63">
        <f>CA62-MIN(CA62,BZ63)</f>
        <v/>
      </c>
      <c r="CB63">
        <f>BZ63-(CA62-CA63)</f>
        <v/>
      </c>
      <c r="CC63">
        <f>MAX(0,CB63*(1+$E$37)-$F$37)</f>
        <v/>
      </c>
      <c r="CD63">
        <f>CD62-MIN(CD62,CC63)</f>
        <v/>
      </c>
      <c r="CE63">
        <f>CC63-(CD62-CD63)</f>
        <v/>
      </c>
      <c r="CF63">
        <f>MAX(0,CE63*(1+$E$37)-$F$37)</f>
        <v/>
      </c>
      <c r="CG63">
        <f>CG62-MIN(CG62,CF63)</f>
        <v/>
      </c>
      <c r="CH63">
        <f>CF63-(CG62-CG63)</f>
        <v/>
      </c>
      <c r="CI63">
        <f>MAX(0,CH63*(1+$E$37)-$F$37)</f>
        <v/>
      </c>
      <c r="CJ63">
        <f>CJ62-MIN(CJ62,CI63)</f>
        <v/>
      </c>
      <c r="CK63">
        <f>CI63-(CJ62-CJ63)</f>
        <v/>
      </c>
      <c r="CL63">
        <f>MAX(0,CK63*(1+$E$37)-$F$37)</f>
        <v/>
      </c>
      <c r="CM63">
        <f>CM62-MIN(CM62,CL63)</f>
        <v/>
      </c>
      <c r="CN63">
        <f>CL63-(CM62-CM63)</f>
        <v/>
      </c>
      <c r="CO63">
        <f>MAX(0,CN63*(1+$E$37)-$F$37)</f>
        <v/>
      </c>
      <c r="CP63">
        <f>CP62-MIN(CP62,CO63)</f>
        <v/>
      </c>
      <c r="CQ63">
        <f>CO63-(CP62-CP63)</f>
        <v/>
      </c>
      <c r="CR63">
        <f>MAX(0,CQ63*(1+$E$37)-$F$37)</f>
        <v/>
      </c>
      <c r="CS63">
        <f>CS62-MIN(CS62,CR63)</f>
        <v/>
      </c>
      <c r="CT63">
        <f>CR63-(CS62-CS63)</f>
        <v/>
      </c>
      <c r="CU63">
        <f>MAX(0,CT63*(1+$E$37)-$F$37)</f>
        <v/>
      </c>
      <c r="CV63">
        <f>CV62-MIN(CV62,CU63)</f>
        <v/>
      </c>
      <c r="CW63">
        <f>CU63-(CV62-CV63)</f>
        <v/>
      </c>
      <c r="CX63">
        <f>MAX(0,CW63*(1+$E$37)-$F$37)</f>
        <v/>
      </c>
      <c r="CY63">
        <f>CY62-MIN(CY62,CX63)</f>
        <v/>
      </c>
      <c r="CZ63">
        <f>CX63-(CY62-CY63)</f>
        <v/>
      </c>
      <c r="DA63">
        <f>MAX(0,CZ63*(1+$E$37)-$F$37)</f>
        <v/>
      </c>
      <c r="DB63">
        <f>DB62-MIN(DB62,DA63)</f>
        <v/>
      </c>
      <c r="DC63">
        <f>DA63-(DB62-DB63)</f>
        <v/>
      </c>
      <c r="DD63">
        <f>MAX(0,DC63*(1+$E$37)-$F$37)</f>
        <v/>
      </c>
      <c r="DE63">
        <f>DE62-MIN(DE62,DD63)</f>
        <v/>
      </c>
      <c r="DF63">
        <f>DD63-(DE62-DE63)</f>
        <v/>
      </c>
      <c r="DG63">
        <f>MAX(0,DF63*(1+$E$37)-$F$37)</f>
        <v/>
      </c>
      <c r="DH63">
        <f>DH62-MIN(DH62,DG63)</f>
        <v/>
      </c>
      <c r="DI63">
        <f>DG63-(DH62-DH63)</f>
        <v/>
      </c>
      <c r="DJ63">
        <f>MAX(0,DI63*(1+$E$37)-$F$37)</f>
        <v/>
      </c>
      <c r="DK63">
        <f>DK62-MIN(DK62,DJ63)</f>
        <v/>
      </c>
      <c r="DL63">
        <f>DJ63-(DK62-DK63)</f>
        <v/>
      </c>
      <c r="DM63">
        <f>MAX(0,DL63*(1+$E$37)-$F$37)</f>
        <v/>
      </c>
      <c r="DN63">
        <f>DN62-MIN(DN62,DM63)</f>
        <v/>
      </c>
      <c r="DO63">
        <f>DM63-(DN62-DN63)</f>
        <v/>
      </c>
      <c r="DP63">
        <f>MAX(0,DO63*(1+$E$37)-$F$37)</f>
        <v/>
      </c>
      <c r="DQ63">
        <f>DQ62-MIN(DQ62,DP63)</f>
        <v/>
      </c>
      <c r="DR63">
        <f>DP63-(DQ62-DQ63)</f>
        <v/>
      </c>
      <c r="DS63">
        <f>MAX(0,DR63*(1+$E$37)-$F$37)</f>
        <v/>
      </c>
      <c r="DT63">
        <f>DT62-MIN(DT62,DS63)</f>
        <v/>
      </c>
      <c r="DU63">
        <f>DS63-(DT62-DT63)</f>
        <v/>
      </c>
      <c r="DV63">
        <f>MAX(0,DU63*(1+$E$37)-$F$37)</f>
        <v/>
      </c>
      <c r="DW63">
        <f>DW62-MIN(DW62,DV63)</f>
        <v/>
      </c>
      <c r="DX63">
        <f>DV63-(DW62-DW63)</f>
        <v/>
      </c>
      <c r="DY63">
        <f>MAX(0,DX63*(1+$E$37)-$F$37)</f>
        <v/>
      </c>
      <c r="DZ63">
        <f>DZ62-MIN(DZ62,DY63)</f>
        <v/>
      </c>
      <c r="EA63">
        <f>DY63-(DZ62-DZ63)</f>
        <v/>
      </c>
      <c r="EB63">
        <f>MAX(0,EA63*(1+$E$37)-$F$37)</f>
        <v/>
      </c>
      <c r="EC63">
        <f>EC62-MIN(EC62,EB63)</f>
        <v/>
      </c>
      <c r="ED63">
        <f>EB63-(EC62-EC63)</f>
        <v/>
      </c>
      <c r="EE63">
        <f>MAX(0,ED63*(1+$E$37)-$F$37)</f>
        <v/>
      </c>
      <c r="EF63">
        <f>EF62-MIN(EF62,EE63)</f>
        <v/>
      </c>
      <c r="EG63">
        <f>EE63-(EF62-EF63)</f>
        <v/>
      </c>
      <c r="EH63">
        <f>MAX(0,EG63*(1+$E$37)-$F$37)</f>
        <v/>
      </c>
      <c r="EI63">
        <f>EI62-MIN(EI62,EH63)</f>
        <v/>
      </c>
      <c r="EJ63">
        <f>EH63-(EI62-EI63)</f>
        <v/>
      </c>
      <c r="EK63">
        <f>MAX(0,EJ63*(1+$E$37)-$F$37)</f>
        <v/>
      </c>
      <c r="EL63">
        <f>EL62-MIN(EL62,EK63)</f>
        <v/>
      </c>
      <c r="EM63">
        <f>EK63-(EL62-EL63)</f>
        <v/>
      </c>
      <c r="EN63">
        <f>MAX(0,EM63*(1+$E$37)-$F$37)</f>
        <v/>
      </c>
      <c r="EO63">
        <f>EO62-MIN(EO62,EN63)</f>
        <v/>
      </c>
      <c r="EP63">
        <f>EN63-(EO62-EO63)</f>
        <v/>
      </c>
      <c r="EQ63">
        <f>MAX(0,EP63*(1+$E$37)-$F$37)</f>
        <v/>
      </c>
      <c r="ER63">
        <f>ER62-MIN(ER62,EQ63)</f>
        <v/>
      </c>
      <c r="ES63">
        <f>EQ63-(ER62-ER63)</f>
        <v/>
      </c>
      <c r="ET63">
        <f>MAX(0,ES63*(1+$E$37)-$F$37)</f>
        <v/>
      </c>
      <c r="EU63">
        <f>EU62-MIN(EU62,ET63)</f>
        <v/>
      </c>
      <c r="EV63">
        <f>ET63-(EU62-EU63)</f>
        <v/>
      </c>
      <c r="EW63">
        <f>MAX(0,EV63*(1+$E$37)-$F$37)</f>
        <v/>
      </c>
      <c r="EX63">
        <f>EX62-MIN(EX62,EW63)</f>
        <v/>
      </c>
      <c r="EY63">
        <f>EW63-(EX62-EX63)</f>
        <v/>
      </c>
      <c r="EZ63">
        <f>MAX(0,EY63*(1+$E$37)-$F$37)</f>
        <v/>
      </c>
      <c r="FA63">
        <f>FA62-MIN(FA62,EZ63)</f>
        <v/>
      </c>
      <c r="FB63">
        <f>EZ63-(FA62-FA63)</f>
        <v/>
      </c>
      <c r="FC63">
        <f>MAX(0,FB63*(1+$E$37)-$F$37)</f>
        <v/>
      </c>
      <c r="FD63">
        <f>FD62-MIN(FD62,FC63)</f>
        <v/>
      </c>
      <c r="FE63">
        <f>FC63-(FD62-FD63)</f>
        <v/>
      </c>
      <c r="FF63">
        <f>MAX(0,FE63*(1+$E$37)-$F$37)</f>
        <v/>
      </c>
      <c r="FG63">
        <f>FG62-MIN(FG62,FF63)</f>
        <v/>
      </c>
      <c r="FH63">
        <f>FF63-(FG62-FG63)</f>
        <v/>
      </c>
      <c r="FI63">
        <f>MAX(0,FH63*(1+$E$37)-$F$37)</f>
        <v/>
      </c>
      <c r="FJ63">
        <f>FJ62-MIN(FJ62,FI63)</f>
        <v/>
      </c>
      <c r="FK63">
        <f>FI63-(FJ62-FJ63)</f>
        <v/>
      </c>
      <c r="FL63">
        <f>MAX(0,FK63*(1+$E$37)-$F$37)</f>
        <v/>
      </c>
      <c r="FM63">
        <f>FM62-MIN(FM62,FL63)</f>
        <v/>
      </c>
      <c r="FN63">
        <f>FL63-(FM62-FM63)</f>
        <v/>
      </c>
      <c r="FO63">
        <f>MAX(0,FN63*(1+$E$37)-$F$37)</f>
        <v/>
      </c>
      <c r="FP63">
        <f>FP62-MIN(FP62,FO63)</f>
        <v/>
      </c>
      <c r="FQ63">
        <f>FO63-(FP62-FP63)</f>
        <v/>
      </c>
      <c r="FR63">
        <f>MAX(0,FQ63*(1+$E$37)-$F$37)</f>
        <v/>
      </c>
      <c r="FS63">
        <f>FS62-MIN(FS62,FR63)</f>
        <v/>
      </c>
      <c r="FT63">
        <f>FR63-(FS62-FS63)</f>
        <v/>
      </c>
      <c r="FU63">
        <f>MAX(0,FT63*(1+$E$37)-$F$37)</f>
        <v/>
      </c>
      <c r="FV63">
        <f>FV62-MIN(FV62,FU63)</f>
        <v/>
      </c>
      <c r="FW63">
        <f>FU63-(FV62-FV63)</f>
        <v/>
      </c>
      <c r="FX63">
        <f>MAX(0,FW63*(1+$E$37)-$F$37)</f>
        <v/>
      </c>
      <c r="FY63">
        <f>FY62-MIN(FY62,FX63)</f>
        <v/>
      </c>
      <c r="FZ63">
        <f>FX63-(FY62-FY63)</f>
        <v/>
      </c>
      <c r="GA63">
        <f>MAX(0,FZ63*(1+$E$37)-$F$37)</f>
        <v/>
      </c>
      <c r="GB63">
        <f>GB62-MIN(GB62,GA63)</f>
        <v/>
      </c>
      <c r="GC63">
        <f>GA63-(GB62-GB63)</f>
        <v/>
      </c>
      <c r="GD63">
        <f>MAX(0,GC63*(1+$E$37)-$F$37)</f>
        <v/>
      </c>
      <c r="GE63">
        <f>GE62-MIN(GE62,GD63)</f>
        <v/>
      </c>
      <c r="GF63">
        <f>GD63-(GE62-GE63)</f>
        <v/>
      </c>
      <c r="GG63">
        <f>MAX(0,GF63*(1+$E$37)-$F$37)</f>
        <v/>
      </c>
      <c r="GH63">
        <f>GH62-MIN(GH62,GG63)</f>
        <v/>
      </c>
      <c r="GI63">
        <f>GG63-(GH62-GH63)</f>
        <v/>
      </c>
      <c r="GJ63">
        <f>MAX(0,GI63*(1+$E$37)-$F$37)</f>
        <v/>
      </c>
      <c r="GK63">
        <f>GK62-MIN(GK62,GJ63)</f>
        <v/>
      </c>
      <c r="GL63">
        <f>GJ63-(GK62-GK63)</f>
        <v/>
      </c>
      <c r="GM63">
        <f>MAX(0,GL63*(1+$E$37)-$F$37)</f>
        <v/>
      </c>
      <c r="GN63">
        <f>GN62-MIN(GN62,GM63)</f>
        <v/>
      </c>
      <c r="GO63">
        <f>GM63-(GN62-GN63)</f>
        <v/>
      </c>
      <c r="GP63">
        <f>MAX(0,GO63*(1+$E$37)-$F$37)</f>
        <v/>
      </c>
      <c r="GQ63">
        <f>GQ62-MIN(GQ62,GP63)</f>
        <v/>
      </c>
      <c r="GR63">
        <f>GP63-(GQ62-GQ63)</f>
        <v/>
      </c>
      <c r="GS63">
        <f>MAX(0,GR63*(1+$E$37)-$F$37)</f>
        <v/>
      </c>
      <c r="GT63">
        <f>GT62-MIN(GT62,GS63)</f>
        <v/>
      </c>
      <c r="GU63">
        <f>GS63-(GT62-GT63)</f>
        <v/>
      </c>
      <c r="GV63">
        <f>MAX(0,GU63*(1+$E$37)-$F$37)</f>
        <v/>
      </c>
      <c r="GW63">
        <f>GW62-MIN(GW62,GV63)</f>
        <v/>
      </c>
      <c r="GX63">
        <f>GV63-(GW62-GW63)</f>
        <v/>
      </c>
      <c r="GY63">
        <f>MAX(0,GX63*(1+$E$37)-$F$37)</f>
        <v/>
      </c>
      <c r="GZ63">
        <f>GZ62-MIN(GZ62,GY63)</f>
        <v/>
      </c>
      <c r="HA63">
        <f>GY63-(GZ62-GZ63)</f>
        <v/>
      </c>
      <c r="HB63">
        <f>MAX(0,HA63*(1+$E$37)-$F$37)</f>
        <v/>
      </c>
      <c r="HC63">
        <f>HC62-MIN(HC62,HB63)</f>
        <v/>
      </c>
      <c r="HD63">
        <f>HB63-(HC62-HC63)</f>
        <v/>
      </c>
      <c r="HE63">
        <f>MAX(0,HD63*(1+$E$37)-$F$37)</f>
        <v/>
      </c>
      <c r="HF63">
        <f>HF62-MIN(HF62,HE63)</f>
        <v/>
      </c>
      <c r="HG63">
        <f>HE63-(HF62-HF63)</f>
        <v/>
      </c>
      <c r="HH63">
        <f>MAX(0,HG63*(1+$E$37)-$F$37)</f>
        <v/>
      </c>
      <c r="HI63">
        <f>HI62-MIN(HI62,HH63)</f>
        <v/>
      </c>
      <c r="HJ63">
        <f>HH63-(HI62-HI63)</f>
        <v/>
      </c>
      <c r="HK63">
        <f>MAX(0,HJ63*(1+$E$37)-$F$37)</f>
        <v/>
      </c>
      <c r="HL63">
        <f>HL62-MIN(HL62,HK63)</f>
        <v/>
      </c>
      <c r="HM63">
        <f>HK63-(HL62-HL63)</f>
        <v/>
      </c>
      <c r="HN63">
        <f>MAX(0,HM63*(1+$E$37)-$F$37)</f>
        <v/>
      </c>
      <c r="HO63">
        <f>HO62-MIN(HO62,HN63)</f>
        <v/>
      </c>
      <c r="HP63">
        <f>HN63-(HO62-HO63)</f>
        <v/>
      </c>
      <c r="HQ63">
        <f>MAX(0,HP63*(1+$E$37)-$F$37)</f>
        <v/>
      </c>
      <c r="HR63">
        <f>HR62-MIN(HR62,HQ63)</f>
        <v/>
      </c>
      <c r="HS63">
        <f>HQ63-(HR62-HR63)</f>
        <v/>
      </c>
      <c r="HT63">
        <f>MAX(0,HS63*(1+$E$37)-$F$37)</f>
        <v/>
      </c>
      <c r="HU63">
        <f>HU62-MIN(HU62,HT63)</f>
        <v/>
      </c>
      <c r="HV63">
        <f>HT63-(HU62-HU63)</f>
        <v/>
      </c>
      <c r="HW63">
        <f>MAX(0,HV63*(1+$E$37)-$F$37)</f>
        <v/>
      </c>
      <c r="HX63">
        <f>HX62-MIN(HX62,HW63)</f>
        <v/>
      </c>
      <c r="HY63">
        <f>HW63-(HX62-HX63)</f>
        <v/>
      </c>
      <c r="HZ63">
        <f>MAX(0,HY63*(1+$E$37)-$F$37)</f>
        <v/>
      </c>
      <c r="IA63">
        <f>IA62-MIN(IA62,HZ63)</f>
        <v/>
      </c>
      <c r="IB63">
        <f>HZ63-(IA62-IA63)</f>
        <v/>
      </c>
      <c r="IC63">
        <f>MAX(0,IB63*(1+$E$37)-$F$37)</f>
        <v/>
      </c>
      <c r="ID63">
        <f>ID62-MIN(ID62,IC63)</f>
        <v/>
      </c>
      <c r="IE63">
        <f>IC63-(ID62-ID63)</f>
        <v/>
      </c>
      <c r="IF63">
        <f>MAX(0,IE63*(1+$E$37)-$F$37)</f>
        <v/>
      </c>
      <c r="IG63">
        <f>IG62-MIN(IG62,IF63)</f>
        <v/>
      </c>
      <c r="IH63">
        <f>IF63-(IG62-IG63)</f>
        <v/>
      </c>
      <c r="II63">
        <f>MAX(0,IH63*(1+$E$37)-$F$37)</f>
        <v/>
      </c>
      <c r="IJ63">
        <f>IJ62-MIN(IJ62,II63)</f>
        <v/>
      </c>
      <c r="IK63">
        <f>II63-(IJ62-IJ63)</f>
        <v/>
      </c>
      <c r="IL63">
        <f>MAX(0,IK63*(1+$E$37)-$F$37)</f>
        <v/>
      </c>
      <c r="IM63">
        <f>IM62-MIN(IM62,IL63)</f>
        <v/>
      </c>
      <c r="IN63">
        <f>IL63-(IM62-IM63)</f>
        <v/>
      </c>
      <c r="IO63">
        <f>MAX(0,IN63*(1+$E$37)-$F$37)</f>
        <v/>
      </c>
      <c r="IP63">
        <f>IP62-MIN(IP62,IO63)</f>
        <v/>
      </c>
      <c r="IQ63">
        <f>IO63-(IP62-IP63)</f>
        <v/>
      </c>
      <c r="IR63">
        <f>MAX(0,IQ63*(1+$E$37)-$F$37)</f>
        <v/>
      </c>
      <c r="IS63">
        <f>IS62-MIN(IS62,IR63)</f>
        <v/>
      </c>
      <c r="IT63">
        <f>IR63-(IS62-IS63)</f>
        <v/>
      </c>
      <c r="IU63">
        <f>MAX(0,IT63*(1+$E$37)-$F$37)</f>
        <v/>
      </c>
      <c r="IV63">
        <f>IV62-MIN(IV62,IU63)</f>
        <v/>
      </c>
      <c r="IW63">
        <f>IU63-(IV62-IV63)</f>
        <v/>
      </c>
      <c r="IX63">
        <f>MAX(0,IW63*(1+$E$37)-$F$37)</f>
        <v/>
      </c>
      <c r="IY63">
        <f>IY62-MIN(IY62,IX63)</f>
        <v/>
      </c>
      <c r="IZ63">
        <f>IX63-(IY62-IY63)</f>
        <v/>
      </c>
      <c r="JA63">
        <f>MAX(0,IZ63*(1+$E$37)-$F$37)</f>
        <v/>
      </c>
      <c r="JB63">
        <f>JB62-MIN(JB62,JA63)</f>
        <v/>
      </c>
      <c r="JC63">
        <f>JA63-(JB62-JB63)</f>
        <v/>
      </c>
      <c r="JD63">
        <f>MAX(0,JC63*(1+$E$37)-$F$37)</f>
        <v/>
      </c>
      <c r="JE63">
        <f>JE62-MIN(JE62,JD63)</f>
        <v/>
      </c>
      <c r="JF63">
        <f>JD63-(JE62-JE63)</f>
        <v/>
      </c>
      <c r="JG63">
        <f>MAX(0,JF63*(1+$E$37)-$F$37)</f>
        <v/>
      </c>
      <c r="JH63">
        <f>JH62-MIN(JH62,JG63)</f>
        <v/>
      </c>
      <c r="JI63">
        <f>JG63-(JH62-JH63)</f>
        <v/>
      </c>
      <c r="JJ63">
        <f>MAX(0,JI63*(1+$E$37)-$F$37)</f>
        <v/>
      </c>
      <c r="JK63">
        <f>JK62-MIN(JK62,JJ63)</f>
        <v/>
      </c>
      <c r="JL63">
        <f>JJ63-(JK62-JK63)</f>
        <v/>
      </c>
      <c r="JM63">
        <f>MAX(0,JL63*(1+$E$37)-$F$37)</f>
        <v/>
      </c>
      <c r="JN63">
        <f>JN62-MIN(JN62,JM63)</f>
        <v/>
      </c>
      <c r="JO63">
        <f>JM63-(JN62-JN63)</f>
        <v/>
      </c>
      <c r="JP63">
        <f>MAX(0,JO63*(1+$E$37)-$F$37)</f>
        <v/>
      </c>
      <c r="JQ63">
        <f>JQ62-MIN(JQ62,JP63)</f>
        <v/>
      </c>
      <c r="JR63">
        <f>JP63-(JQ62-JQ63)</f>
        <v/>
      </c>
      <c r="JS63">
        <f>MAX(0,JR63*(1+$E$37)-$F$37)</f>
        <v/>
      </c>
      <c r="JT63">
        <f>JT62-MIN(JT62,JS63)</f>
        <v/>
      </c>
      <c r="JU63">
        <f>JS63-(JT62-JT63)</f>
        <v/>
      </c>
      <c r="JV63">
        <f>MAX(0,JU63*(1+$E$37)-$F$37)</f>
        <v/>
      </c>
      <c r="JW63">
        <f>JW62-MIN(JW62,JV63)</f>
        <v/>
      </c>
      <c r="JX63">
        <f>JV63-(JW62-JW63)</f>
        <v/>
      </c>
      <c r="JY63">
        <f>MAX(0,JX63*(1+$E$37)-$F$37)</f>
        <v/>
      </c>
      <c r="JZ63">
        <f>JZ62-MIN(JZ62,JY63)</f>
        <v/>
      </c>
      <c r="KA63">
        <f>JY63-(JZ62-JZ63)</f>
        <v/>
      </c>
      <c r="KB63">
        <f>MAX(0,KA63*(1+$E$37)-$F$37)</f>
        <v/>
      </c>
      <c r="KC63">
        <f>KC62-MIN(KC62,KB63)</f>
        <v/>
      </c>
      <c r="KD63">
        <f>KB63-(KC62-KC63)</f>
        <v/>
      </c>
      <c r="KE63">
        <f>MAX(0,KD63*(1+$E$37)-$F$37)</f>
        <v/>
      </c>
      <c r="KF63">
        <f>KF62-MIN(KF62,KE63)</f>
        <v/>
      </c>
      <c r="KG63">
        <f>KE63-(KF62-KF63)</f>
        <v/>
      </c>
      <c r="KH63">
        <f>MAX(0,KG63*(1+$E$37)-$F$37)</f>
        <v/>
      </c>
      <c r="KI63">
        <f>KI62-MIN(KI62,KH63)</f>
        <v/>
      </c>
      <c r="KJ63">
        <f>KH63-(KI62-KI63)</f>
        <v/>
      </c>
      <c r="KK63">
        <f>MAX(0,KJ63*(1+$E$37)-$F$37)</f>
        <v/>
      </c>
      <c r="KL63">
        <f>KL62-MIN(KL62,KK63)</f>
        <v/>
      </c>
      <c r="KM63">
        <f>KK63-(KL62-KL63)</f>
        <v/>
      </c>
      <c r="KN63">
        <f>MAX(0,KM63*(1+$E$37)-$F$37)</f>
        <v/>
      </c>
      <c r="KO63">
        <f>KO62-MIN(KO62,KN63)</f>
        <v/>
      </c>
      <c r="KP63">
        <f>KN63-(KO62-KO63)</f>
        <v/>
      </c>
      <c r="KQ63">
        <f>MAX(0,KP63*(1+$E$37)-$F$37)</f>
        <v/>
      </c>
      <c r="KR63">
        <f>KR62-MIN(KR62,KQ63)</f>
        <v/>
      </c>
      <c r="KS63">
        <f>KQ63-(KR62-KR63)</f>
        <v/>
      </c>
      <c r="KT63">
        <f>MAX(0,KS63*(1+$E$37)-$F$37)</f>
        <v/>
      </c>
      <c r="KU63">
        <f>KU62-MIN(KU62,KT63)</f>
        <v/>
      </c>
      <c r="KV63">
        <f>KT63-(KU62-KU63)</f>
        <v/>
      </c>
      <c r="KW63">
        <f>MAX(0,KV63*(1+$E$37)-$F$37)</f>
        <v/>
      </c>
      <c r="KX63">
        <f>KX62-MIN(KX62,KW63)</f>
        <v/>
      </c>
      <c r="KY63">
        <f>KW63-(KX62-KX63)</f>
        <v/>
      </c>
      <c r="KZ63">
        <f>MAX(0,KY63*(1+$E$37)-$F$37)</f>
        <v/>
      </c>
      <c r="LA63">
        <f>LA62-MIN(LA62,KZ63)</f>
        <v/>
      </c>
      <c r="LB63">
        <f>KZ63-(LA62-LA63)</f>
        <v/>
      </c>
      <c r="LC63">
        <f>MAX(0,LB63*(1+$E$37)-$F$37)</f>
        <v/>
      </c>
      <c r="LD63">
        <f>LD62-MIN(LD62,LC63)</f>
        <v/>
      </c>
      <c r="LE63">
        <f>LC63-(LD62-LD63)</f>
        <v/>
      </c>
      <c r="LF63">
        <f>MAX(0,LE63*(1+$E$37)-$F$37)</f>
        <v/>
      </c>
      <c r="LG63">
        <f>LG62-MIN(LG62,LF63)</f>
        <v/>
      </c>
      <c r="LH63">
        <f>LF63-(LG62-LG63)</f>
        <v/>
      </c>
      <c r="LI63">
        <f>MAX(0,LH63*(1+$E$37)-$F$37)</f>
        <v/>
      </c>
      <c r="LJ63">
        <f>LJ62-MIN(LJ62,LI63)</f>
        <v/>
      </c>
      <c r="LK63">
        <f>LI63-(LJ62-LJ63)</f>
        <v/>
      </c>
      <c r="LL63">
        <f>MAX(0,LK63*(1+$E$37)-$F$37)</f>
        <v/>
      </c>
      <c r="LM63">
        <f>LM62-MIN(LM62,LL63)</f>
        <v/>
      </c>
      <c r="LN63">
        <f>LL63-(LM62-LM63)</f>
        <v/>
      </c>
      <c r="LO63">
        <f>MAX(0,LN63*(1+$E$37)-$F$37)</f>
        <v/>
      </c>
      <c r="LP63">
        <f>LP62-MIN(LP62,LO63)</f>
        <v/>
      </c>
      <c r="LQ63">
        <f>LO63-(LP62-LP63)</f>
        <v/>
      </c>
      <c r="LR63">
        <f>MAX(0,LQ63*(1+$E$37)-$F$37)</f>
        <v/>
      </c>
      <c r="LS63">
        <f>LS62-MIN(LS62,LR63)</f>
        <v/>
      </c>
      <c r="LT63">
        <f>LR63-(LS62-LS63)</f>
        <v/>
      </c>
      <c r="LU63">
        <f>MAX(0,LT63*(1+$E$37)-$F$37)</f>
        <v/>
      </c>
      <c r="LV63">
        <f>LV62-MIN(LV62,LU63)</f>
        <v/>
      </c>
      <c r="LW63">
        <f>LU63-(LV62-LV63)</f>
        <v/>
      </c>
      <c r="LX63">
        <f>MAX(0,LW63*(1+$E$37)-$F$37)</f>
        <v/>
      </c>
      <c r="LY63">
        <f>LY62-MIN(LY62,LX63)</f>
        <v/>
      </c>
      <c r="LZ63">
        <f>LX63-(LY62-LY63)</f>
        <v/>
      </c>
      <c r="MA63">
        <f>MAX(0,LZ63*(1+$E$37)-$F$37)</f>
        <v/>
      </c>
      <c r="MB63">
        <f>MB62-MIN(MB62,MA63)</f>
        <v/>
      </c>
      <c r="MC63">
        <f>MA63-(MB62-MB63)</f>
        <v/>
      </c>
      <c r="MD63">
        <f>MAX(0,MC63*(1+$E$37)-$F$37)</f>
        <v/>
      </c>
      <c r="ME63">
        <f>ME62-MIN(ME62,MD63)</f>
        <v/>
      </c>
      <c r="MF63">
        <f>MD63-(ME62-ME63)</f>
        <v/>
      </c>
      <c r="MG63">
        <f>MAX(0,MF63*(1+$E$37)-$F$37)</f>
        <v/>
      </c>
      <c r="MH63">
        <f>MH62-MIN(MH62,MG63)</f>
        <v/>
      </c>
      <c r="MI63">
        <f>MG63-(MH62-MH63)</f>
        <v/>
      </c>
      <c r="MJ63">
        <f>MAX(0,MI63*(1+$E$37)-$F$37)</f>
        <v/>
      </c>
      <c r="MK63">
        <f>MK62-MIN(MK62,MJ63)</f>
        <v/>
      </c>
      <c r="ML63">
        <f>MJ63-(MK62-MK63)</f>
        <v/>
      </c>
      <c r="MM63">
        <f>MAX(0,ML63*(1+$E$37)-$F$37)</f>
        <v/>
      </c>
      <c r="MN63">
        <f>MN62-MIN(MN62,MM63)</f>
        <v/>
      </c>
      <c r="MO63">
        <f>MM63-(MN62-MN63)</f>
        <v/>
      </c>
      <c r="MP63">
        <f>MAX(0,MO63*(1+$E$37)-$F$37)</f>
        <v/>
      </c>
      <c r="MQ63">
        <f>MQ62-MIN(MQ62,MP63)</f>
        <v/>
      </c>
      <c r="MR63">
        <f>MP63-(MQ62-MQ63)</f>
        <v/>
      </c>
      <c r="MS63">
        <f>MAX(0,MR63*(1+$E$37)-$F$37)</f>
        <v/>
      </c>
      <c r="MT63">
        <f>MT62-MIN(MT62,MS63)</f>
        <v/>
      </c>
      <c r="MU63">
        <f>MS63-(MT62-MT63)</f>
        <v/>
      </c>
      <c r="MV63">
        <f>MAX(0,MU63*(1+$E$37)-$F$37)</f>
        <v/>
      </c>
      <c r="MW63">
        <f>MW62-MIN(MW62,MV63)</f>
        <v/>
      </c>
      <c r="MX63">
        <f>MV63-(MW62-MW63)</f>
        <v/>
      </c>
    </row>
    <row r="64">
      <c r="A64" t="inlineStr">
        <is>
          <t>slot 15</t>
        </is>
      </c>
      <c r="B64">
        <f>D38</f>
        <v/>
      </c>
      <c r="C64">
        <f>MAX(0,B64*(1+$E$38)-$F$38)</f>
        <v/>
      </c>
      <c r="D64">
        <f>D63-MIN(D63,C64)</f>
        <v/>
      </c>
      <c r="E64">
        <f>C64-(D63-D64)</f>
        <v/>
      </c>
      <c r="F64">
        <f>MAX(0,E64*(1+$E$38)-$F$38)</f>
        <v/>
      </c>
      <c r="G64">
        <f>G63-MIN(G63,F64)</f>
        <v/>
      </c>
      <c r="H64">
        <f>F64-(G63-G64)</f>
        <v/>
      </c>
      <c r="I64">
        <f>MAX(0,H64*(1+$E$38)-$F$38)</f>
        <v/>
      </c>
      <c r="J64">
        <f>J63-MIN(J63,I64)</f>
        <v/>
      </c>
      <c r="K64">
        <f>I64-(J63-J64)</f>
        <v/>
      </c>
      <c r="L64">
        <f>MAX(0,K64*(1+$E$38)-$F$38)</f>
        <v/>
      </c>
      <c r="M64">
        <f>M63-MIN(M63,L64)</f>
        <v/>
      </c>
      <c r="N64">
        <f>L64-(M63-M64)</f>
        <v/>
      </c>
      <c r="O64">
        <f>MAX(0,N64*(1+$E$38)-$F$38)</f>
        <v/>
      </c>
      <c r="P64">
        <f>P63-MIN(P63,O64)</f>
        <v/>
      </c>
      <c r="Q64">
        <f>O64-(P63-P64)</f>
        <v/>
      </c>
      <c r="R64">
        <f>MAX(0,Q64*(1+$E$38)-$F$38)</f>
        <v/>
      </c>
      <c r="S64">
        <f>S63-MIN(S63,R64)</f>
        <v/>
      </c>
      <c r="T64">
        <f>R64-(S63-S64)</f>
        <v/>
      </c>
      <c r="U64">
        <f>MAX(0,T64*(1+$E$38)-$F$38)</f>
        <v/>
      </c>
      <c r="V64">
        <f>V63-MIN(V63,U64)</f>
        <v/>
      </c>
      <c r="W64">
        <f>U64-(V63-V64)</f>
        <v/>
      </c>
      <c r="X64">
        <f>MAX(0,W64*(1+$E$38)-$F$38)</f>
        <v/>
      </c>
      <c r="Y64">
        <f>Y63-MIN(Y63,X64)</f>
        <v/>
      </c>
      <c r="Z64">
        <f>X64-(Y63-Y64)</f>
        <v/>
      </c>
      <c r="AA64">
        <f>MAX(0,Z64*(1+$E$38)-$F$38)</f>
        <v/>
      </c>
      <c r="AB64">
        <f>AB63-MIN(AB63,AA64)</f>
        <v/>
      </c>
      <c r="AC64">
        <f>AA64-(AB63-AB64)</f>
        <v/>
      </c>
      <c r="AD64">
        <f>MAX(0,AC64*(1+$E$38)-$F$38)</f>
        <v/>
      </c>
      <c r="AE64">
        <f>AE63-MIN(AE63,AD64)</f>
        <v/>
      </c>
      <c r="AF64">
        <f>AD64-(AE63-AE64)</f>
        <v/>
      </c>
      <c r="AG64">
        <f>MAX(0,AF64*(1+$E$38)-$F$38)</f>
        <v/>
      </c>
      <c r="AH64">
        <f>AH63-MIN(AH63,AG64)</f>
        <v/>
      </c>
      <c r="AI64">
        <f>AG64-(AH63-AH64)</f>
        <v/>
      </c>
      <c r="AJ64">
        <f>MAX(0,AI64*(1+$E$38)-$F$38)</f>
        <v/>
      </c>
      <c r="AK64">
        <f>AK63-MIN(AK63,AJ64)</f>
        <v/>
      </c>
      <c r="AL64">
        <f>AJ64-(AK63-AK64)</f>
        <v/>
      </c>
      <c r="AM64">
        <f>MAX(0,AL64*(1+$E$38)-$F$38)</f>
        <v/>
      </c>
      <c r="AN64">
        <f>AN63-MIN(AN63,AM64)</f>
        <v/>
      </c>
      <c r="AO64">
        <f>AM64-(AN63-AN64)</f>
        <v/>
      </c>
      <c r="AP64">
        <f>MAX(0,AO64*(1+$E$38)-$F$38)</f>
        <v/>
      </c>
      <c r="AQ64">
        <f>AQ63-MIN(AQ63,AP64)</f>
        <v/>
      </c>
      <c r="AR64">
        <f>AP64-(AQ63-AQ64)</f>
        <v/>
      </c>
      <c r="AS64">
        <f>MAX(0,AR64*(1+$E$38)-$F$38)</f>
        <v/>
      </c>
      <c r="AT64">
        <f>AT63-MIN(AT63,AS64)</f>
        <v/>
      </c>
      <c r="AU64">
        <f>AS64-(AT63-AT64)</f>
        <v/>
      </c>
      <c r="AV64">
        <f>MAX(0,AU64*(1+$E$38)-$F$38)</f>
        <v/>
      </c>
      <c r="AW64">
        <f>AW63-MIN(AW63,AV64)</f>
        <v/>
      </c>
      <c r="AX64">
        <f>AV64-(AW63-AW64)</f>
        <v/>
      </c>
      <c r="AY64">
        <f>MAX(0,AX64*(1+$E$38)-$F$38)</f>
        <v/>
      </c>
      <c r="AZ64">
        <f>AZ63-MIN(AZ63,AY64)</f>
        <v/>
      </c>
      <c r="BA64">
        <f>AY64-(AZ63-AZ64)</f>
        <v/>
      </c>
      <c r="BB64">
        <f>MAX(0,BA64*(1+$E$38)-$F$38)</f>
        <v/>
      </c>
      <c r="BC64">
        <f>BC63-MIN(BC63,BB64)</f>
        <v/>
      </c>
      <c r="BD64">
        <f>BB64-(BC63-BC64)</f>
        <v/>
      </c>
      <c r="BE64">
        <f>MAX(0,BD64*(1+$E$38)-$F$38)</f>
        <v/>
      </c>
      <c r="BF64">
        <f>BF63-MIN(BF63,BE64)</f>
        <v/>
      </c>
      <c r="BG64">
        <f>BE64-(BF63-BF64)</f>
        <v/>
      </c>
      <c r="BH64">
        <f>MAX(0,BG64*(1+$E$38)-$F$38)</f>
        <v/>
      </c>
      <c r="BI64">
        <f>BI63-MIN(BI63,BH64)</f>
        <v/>
      </c>
      <c r="BJ64">
        <f>BH64-(BI63-BI64)</f>
        <v/>
      </c>
      <c r="BK64">
        <f>MAX(0,BJ64*(1+$E$38)-$F$38)</f>
        <v/>
      </c>
      <c r="BL64">
        <f>BL63-MIN(BL63,BK64)</f>
        <v/>
      </c>
      <c r="BM64">
        <f>BK64-(BL63-BL64)</f>
        <v/>
      </c>
      <c r="BN64">
        <f>MAX(0,BM64*(1+$E$38)-$F$38)</f>
        <v/>
      </c>
      <c r="BO64">
        <f>BO63-MIN(BO63,BN64)</f>
        <v/>
      </c>
      <c r="BP64">
        <f>BN64-(BO63-BO64)</f>
        <v/>
      </c>
      <c r="BQ64">
        <f>MAX(0,BP64*(1+$E$38)-$F$38)</f>
        <v/>
      </c>
      <c r="BR64">
        <f>BR63-MIN(BR63,BQ64)</f>
        <v/>
      </c>
      <c r="BS64">
        <f>BQ64-(BR63-BR64)</f>
        <v/>
      </c>
      <c r="BT64">
        <f>MAX(0,BS64*(1+$E$38)-$F$38)</f>
        <v/>
      </c>
      <c r="BU64">
        <f>BU63-MIN(BU63,BT64)</f>
        <v/>
      </c>
      <c r="BV64">
        <f>BT64-(BU63-BU64)</f>
        <v/>
      </c>
      <c r="BW64">
        <f>MAX(0,BV64*(1+$E$38)-$F$38)</f>
        <v/>
      </c>
      <c r="BX64">
        <f>BX63-MIN(BX63,BW64)</f>
        <v/>
      </c>
      <c r="BY64">
        <f>BW64-(BX63-BX64)</f>
        <v/>
      </c>
      <c r="BZ64">
        <f>MAX(0,BY64*(1+$E$38)-$F$38)</f>
        <v/>
      </c>
      <c r="CA64">
        <f>CA63-MIN(CA63,BZ64)</f>
        <v/>
      </c>
      <c r="CB64">
        <f>BZ64-(CA63-CA64)</f>
        <v/>
      </c>
      <c r="CC64">
        <f>MAX(0,CB64*(1+$E$38)-$F$38)</f>
        <v/>
      </c>
      <c r="CD64">
        <f>CD63-MIN(CD63,CC64)</f>
        <v/>
      </c>
      <c r="CE64">
        <f>CC64-(CD63-CD64)</f>
        <v/>
      </c>
      <c r="CF64">
        <f>MAX(0,CE64*(1+$E$38)-$F$38)</f>
        <v/>
      </c>
      <c r="CG64">
        <f>CG63-MIN(CG63,CF64)</f>
        <v/>
      </c>
      <c r="CH64">
        <f>CF64-(CG63-CG64)</f>
        <v/>
      </c>
      <c r="CI64">
        <f>MAX(0,CH64*(1+$E$38)-$F$38)</f>
        <v/>
      </c>
      <c r="CJ64">
        <f>CJ63-MIN(CJ63,CI64)</f>
        <v/>
      </c>
      <c r="CK64">
        <f>CI64-(CJ63-CJ64)</f>
        <v/>
      </c>
      <c r="CL64">
        <f>MAX(0,CK64*(1+$E$38)-$F$38)</f>
        <v/>
      </c>
      <c r="CM64">
        <f>CM63-MIN(CM63,CL64)</f>
        <v/>
      </c>
      <c r="CN64">
        <f>CL64-(CM63-CM64)</f>
        <v/>
      </c>
      <c r="CO64">
        <f>MAX(0,CN64*(1+$E$38)-$F$38)</f>
        <v/>
      </c>
      <c r="CP64">
        <f>CP63-MIN(CP63,CO64)</f>
        <v/>
      </c>
      <c r="CQ64">
        <f>CO64-(CP63-CP64)</f>
        <v/>
      </c>
      <c r="CR64">
        <f>MAX(0,CQ64*(1+$E$38)-$F$38)</f>
        <v/>
      </c>
      <c r="CS64">
        <f>CS63-MIN(CS63,CR64)</f>
        <v/>
      </c>
      <c r="CT64">
        <f>CR64-(CS63-CS64)</f>
        <v/>
      </c>
      <c r="CU64">
        <f>MAX(0,CT64*(1+$E$38)-$F$38)</f>
        <v/>
      </c>
      <c r="CV64">
        <f>CV63-MIN(CV63,CU64)</f>
        <v/>
      </c>
      <c r="CW64">
        <f>CU64-(CV63-CV64)</f>
        <v/>
      </c>
      <c r="CX64">
        <f>MAX(0,CW64*(1+$E$38)-$F$38)</f>
        <v/>
      </c>
      <c r="CY64">
        <f>CY63-MIN(CY63,CX64)</f>
        <v/>
      </c>
      <c r="CZ64">
        <f>CX64-(CY63-CY64)</f>
        <v/>
      </c>
      <c r="DA64">
        <f>MAX(0,CZ64*(1+$E$38)-$F$38)</f>
        <v/>
      </c>
      <c r="DB64">
        <f>DB63-MIN(DB63,DA64)</f>
        <v/>
      </c>
      <c r="DC64">
        <f>DA64-(DB63-DB64)</f>
        <v/>
      </c>
      <c r="DD64">
        <f>MAX(0,DC64*(1+$E$38)-$F$38)</f>
        <v/>
      </c>
      <c r="DE64">
        <f>DE63-MIN(DE63,DD64)</f>
        <v/>
      </c>
      <c r="DF64">
        <f>DD64-(DE63-DE64)</f>
        <v/>
      </c>
      <c r="DG64">
        <f>MAX(0,DF64*(1+$E$38)-$F$38)</f>
        <v/>
      </c>
      <c r="DH64">
        <f>DH63-MIN(DH63,DG64)</f>
        <v/>
      </c>
      <c r="DI64">
        <f>DG64-(DH63-DH64)</f>
        <v/>
      </c>
      <c r="DJ64">
        <f>MAX(0,DI64*(1+$E$38)-$F$38)</f>
        <v/>
      </c>
      <c r="DK64">
        <f>DK63-MIN(DK63,DJ64)</f>
        <v/>
      </c>
      <c r="DL64">
        <f>DJ64-(DK63-DK64)</f>
        <v/>
      </c>
      <c r="DM64">
        <f>MAX(0,DL64*(1+$E$38)-$F$38)</f>
        <v/>
      </c>
      <c r="DN64">
        <f>DN63-MIN(DN63,DM64)</f>
        <v/>
      </c>
      <c r="DO64">
        <f>DM64-(DN63-DN64)</f>
        <v/>
      </c>
      <c r="DP64">
        <f>MAX(0,DO64*(1+$E$38)-$F$38)</f>
        <v/>
      </c>
      <c r="DQ64">
        <f>DQ63-MIN(DQ63,DP64)</f>
        <v/>
      </c>
      <c r="DR64">
        <f>DP64-(DQ63-DQ64)</f>
        <v/>
      </c>
      <c r="DS64">
        <f>MAX(0,DR64*(1+$E$38)-$F$38)</f>
        <v/>
      </c>
      <c r="DT64">
        <f>DT63-MIN(DT63,DS64)</f>
        <v/>
      </c>
      <c r="DU64">
        <f>DS64-(DT63-DT64)</f>
        <v/>
      </c>
      <c r="DV64">
        <f>MAX(0,DU64*(1+$E$38)-$F$38)</f>
        <v/>
      </c>
      <c r="DW64">
        <f>DW63-MIN(DW63,DV64)</f>
        <v/>
      </c>
      <c r="DX64">
        <f>DV64-(DW63-DW64)</f>
        <v/>
      </c>
      <c r="DY64">
        <f>MAX(0,DX64*(1+$E$38)-$F$38)</f>
        <v/>
      </c>
      <c r="DZ64">
        <f>DZ63-MIN(DZ63,DY64)</f>
        <v/>
      </c>
      <c r="EA64">
        <f>DY64-(DZ63-DZ64)</f>
        <v/>
      </c>
      <c r="EB64">
        <f>MAX(0,EA64*(1+$E$38)-$F$38)</f>
        <v/>
      </c>
      <c r="EC64">
        <f>EC63-MIN(EC63,EB64)</f>
        <v/>
      </c>
      <c r="ED64">
        <f>EB64-(EC63-EC64)</f>
        <v/>
      </c>
      <c r="EE64">
        <f>MAX(0,ED64*(1+$E$38)-$F$38)</f>
        <v/>
      </c>
      <c r="EF64">
        <f>EF63-MIN(EF63,EE64)</f>
        <v/>
      </c>
      <c r="EG64">
        <f>EE64-(EF63-EF64)</f>
        <v/>
      </c>
      <c r="EH64">
        <f>MAX(0,EG64*(1+$E$38)-$F$38)</f>
        <v/>
      </c>
      <c r="EI64">
        <f>EI63-MIN(EI63,EH64)</f>
        <v/>
      </c>
      <c r="EJ64">
        <f>EH64-(EI63-EI64)</f>
        <v/>
      </c>
      <c r="EK64">
        <f>MAX(0,EJ64*(1+$E$38)-$F$38)</f>
        <v/>
      </c>
      <c r="EL64">
        <f>EL63-MIN(EL63,EK64)</f>
        <v/>
      </c>
      <c r="EM64">
        <f>EK64-(EL63-EL64)</f>
        <v/>
      </c>
      <c r="EN64">
        <f>MAX(0,EM64*(1+$E$38)-$F$38)</f>
        <v/>
      </c>
      <c r="EO64">
        <f>EO63-MIN(EO63,EN64)</f>
        <v/>
      </c>
      <c r="EP64">
        <f>EN64-(EO63-EO64)</f>
        <v/>
      </c>
      <c r="EQ64">
        <f>MAX(0,EP64*(1+$E$38)-$F$38)</f>
        <v/>
      </c>
      <c r="ER64">
        <f>ER63-MIN(ER63,EQ64)</f>
        <v/>
      </c>
      <c r="ES64">
        <f>EQ64-(ER63-ER64)</f>
        <v/>
      </c>
      <c r="ET64">
        <f>MAX(0,ES64*(1+$E$38)-$F$38)</f>
        <v/>
      </c>
      <c r="EU64">
        <f>EU63-MIN(EU63,ET64)</f>
        <v/>
      </c>
      <c r="EV64">
        <f>ET64-(EU63-EU64)</f>
        <v/>
      </c>
      <c r="EW64">
        <f>MAX(0,EV64*(1+$E$38)-$F$38)</f>
        <v/>
      </c>
      <c r="EX64">
        <f>EX63-MIN(EX63,EW64)</f>
        <v/>
      </c>
      <c r="EY64">
        <f>EW64-(EX63-EX64)</f>
        <v/>
      </c>
      <c r="EZ64">
        <f>MAX(0,EY64*(1+$E$38)-$F$38)</f>
        <v/>
      </c>
      <c r="FA64">
        <f>FA63-MIN(FA63,EZ64)</f>
        <v/>
      </c>
      <c r="FB64">
        <f>EZ64-(FA63-FA64)</f>
        <v/>
      </c>
      <c r="FC64">
        <f>MAX(0,FB64*(1+$E$38)-$F$38)</f>
        <v/>
      </c>
      <c r="FD64">
        <f>FD63-MIN(FD63,FC64)</f>
        <v/>
      </c>
      <c r="FE64">
        <f>FC64-(FD63-FD64)</f>
        <v/>
      </c>
      <c r="FF64">
        <f>MAX(0,FE64*(1+$E$38)-$F$38)</f>
        <v/>
      </c>
      <c r="FG64">
        <f>FG63-MIN(FG63,FF64)</f>
        <v/>
      </c>
      <c r="FH64">
        <f>FF64-(FG63-FG64)</f>
        <v/>
      </c>
      <c r="FI64">
        <f>MAX(0,FH64*(1+$E$38)-$F$38)</f>
        <v/>
      </c>
      <c r="FJ64">
        <f>FJ63-MIN(FJ63,FI64)</f>
        <v/>
      </c>
      <c r="FK64">
        <f>FI64-(FJ63-FJ64)</f>
        <v/>
      </c>
      <c r="FL64">
        <f>MAX(0,FK64*(1+$E$38)-$F$38)</f>
        <v/>
      </c>
      <c r="FM64">
        <f>FM63-MIN(FM63,FL64)</f>
        <v/>
      </c>
      <c r="FN64">
        <f>FL64-(FM63-FM64)</f>
        <v/>
      </c>
      <c r="FO64">
        <f>MAX(0,FN64*(1+$E$38)-$F$38)</f>
        <v/>
      </c>
      <c r="FP64">
        <f>FP63-MIN(FP63,FO64)</f>
        <v/>
      </c>
      <c r="FQ64">
        <f>FO64-(FP63-FP64)</f>
        <v/>
      </c>
      <c r="FR64">
        <f>MAX(0,FQ64*(1+$E$38)-$F$38)</f>
        <v/>
      </c>
      <c r="FS64">
        <f>FS63-MIN(FS63,FR64)</f>
        <v/>
      </c>
      <c r="FT64">
        <f>FR64-(FS63-FS64)</f>
        <v/>
      </c>
      <c r="FU64">
        <f>MAX(0,FT64*(1+$E$38)-$F$38)</f>
        <v/>
      </c>
      <c r="FV64">
        <f>FV63-MIN(FV63,FU64)</f>
        <v/>
      </c>
      <c r="FW64">
        <f>FU64-(FV63-FV64)</f>
        <v/>
      </c>
      <c r="FX64">
        <f>MAX(0,FW64*(1+$E$38)-$F$38)</f>
        <v/>
      </c>
      <c r="FY64">
        <f>FY63-MIN(FY63,FX64)</f>
        <v/>
      </c>
      <c r="FZ64">
        <f>FX64-(FY63-FY64)</f>
        <v/>
      </c>
      <c r="GA64">
        <f>MAX(0,FZ64*(1+$E$38)-$F$38)</f>
        <v/>
      </c>
      <c r="GB64">
        <f>GB63-MIN(GB63,GA64)</f>
        <v/>
      </c>
      <c r="GC64">
        <f>GA64-(GB63-GB64)</f>
        <v/>
      </c>
      <c r="GD64">
        <f>MAX(0,GC64*(1+$E$38)-$F$38)</f>
        <v/>
      </c>
      <c r="GE64">
        <f>GE63-MIN(GE63,GD64)</f>
        <v/>
      </c>
      <c r="GF64">
        <f>GD64-(GE63-GE64)</f>
        <v/>
      </c>
      <c r="GG64">
        <f>MAX(0,GF64*(1+$E$38)-$F$38)</f>
        <v/>
      </c>
      <c r="GH64">
        <f>GH63-MIN(GH63,GG64)</f>
        <v/>
      </c>
      <c r="GI64">
        <f>GG64-(GH63-GH64)</f>
        <v/>
      </c>
      <c r="GJ64">
        <f>MAX(0,GI64*(1+$E$38)-$F$38)</f>
        <v/>
      </c>
      <c r="GK64">
        <f>GK63-MIN(GK63,GJ64)</f>
        <v/>
      </c>
      <c r="GL64">
        <f>GJ64-(GK63-GK64)</f>
        <v/>
      </c>
      <c r="GM64">
        <f>MAX(0,GL64*(1+$E$38)-$F$38)</f>
        <v/>
      </c>
      <c r="GN64">
        <f>GN63-MIN(GN63,GM64)</f>
        <v/>
      </c>
      <c r="GO64">
        <f>GM64-(GN63-GN64)</f>
        <v/>
      </c>
      <c r="GP64">
        <f>MAX(0,GO64*(1+$E$38)-$F$38)</f>
        <v/>
      </c>
      <c r="GQ64">
        <f>GQ63-MIN(GQ63,GP64)</f>
        <v/>
      </c>
      <c r="GR64">
        <f>GP64-(GQ63-GQ64)</f>
        <v/>
      </c>
      <c r="GS64">
        <f>MAX(0,GR64*(1+$E$38)-$F$38)</f>
        <v/>
      </c>
      <c r="GT64">
        <f>GT63-MIN(GT63,GS64)</f>
        <v/>
      </c>
      <c r="GU64">
        <f>GS64-(GT63-GT64)</f>
        <v/>
      </c>
      <c r="GV64">
        <f>MAX(0,GU64*(1+$E$38)-$F$38)</f>
        <v/>
      </c>
      <c r="GW64">
        <f>GW63-MIN(GW63,GV64)</f>
        <v/>
      </c>
      <c r="GX64">
        <f>GV64-(GW63-GW64)</f>
        <v/>
      </c>
      <c r="GY64">
        <f>MAX(0,GX64*(1+$E$38)-$F$38)</f>
        <v/>
      </c>
      <c r="GZ64">
        <f>GZ63-MIN(GZ63,GY64)</f>
        <v/>
      </c>
      <c r="HA64">
        <f>GY64-(GZ63-GZ64)</f>
        <v/>
      </c>
      <c r="HB64">
        <f>MAX(0,HA64*(1+$E$38)-$F$38)</f>
        <v/>
      </c>
      <c r="HC64">
        <f>HC63-MIN(HC63,HB64)</f>
        <v/>
      </c>
      <c r="HD64">
        <f>HB64-(HC63-HC64)</f>
        <v/>
      </c>
      <c r="HE64">
        <f>MAX(0,HD64*(1+$E$38)-$F$38)</f>
        <v/>
      </c>
      <c r="HF64">
        <f>HF63-MIN(HF63,HE64)</f>
        <v/>
      </c>
      <c r="HG64">
        <f>HE64-(HF63-HF64)</f>
        <v/>
      </c>
      <c r="HH64">
        <f>MAX(0,HG64*(1+$E$38)-$F$38)</f>
        <v/>
      </c>
      <c r="HI64">
        <f>HI63-MIN(HI63,HH64)</f>
        <v/>
      </c>
      <c r="HJ64">
        <f>HH64-(HI63-HI64)</f>
        <v/>
      </c>
      <c r="HK64">
        <f>MAX(0,HJ64*(1+$E$38)-$F$38)</f>
        <v/>
      </c>
      <c r="HL64">
        <f>HL63-MIN(HL63,HK64)</f>
        <v/>
      </c>
      <c r="HM64">
        <f>HK64-(HL63-HL64)</f>
        <v/>
      </c>
      <c r="HN64">
        <f>MAX(0,HM64*(1+$E$38)-$F$38)</f>
        <v/>
      </c>
      <c r="HO64">
        <f>HO63-MIN(HO63,HN64)</f>
        <v/>
      </c>
      <c r="HP64">
        <f>HN64-(HO63-HO64)</f>
        <v/>
      </c>
      <c r="HQ64">
        <f>MAX(0,HP64*(1+$E$38)-$F$38)</f>
        <v/>
      </c>
      <c r="HR64">
        <f>HR63-MIN(HR63,HQ64)</f>
        <v/>
      </c>
      <c r="HS64">
        <f>HQ64-(HR63-HR64)</f>
        <v/>
      </c>
      <c r="HT64">
        <f>MAX(0,HS64*(1+$E$38)-$F$38)</f>
        <v/>
      </c>
      <c r="HU64">
        <f>HU63-MIN(HU63,HT64)</f>
        <v/>
      </c>
      <c r="HV64">
        <f>HT64-(HU63-HU64)</f>
        <v/>
      </c>
      <c r="HW64">
        <f>MAX(0,HV64*(1+$E$38)-$F$38)</f>
        <v/>
      </c>
      <c r="HX64">
        <f>HX63-MIN(HX63,HW64)</f>
        <v/>
      </c>
      <c r="HY64">
        <f>HW64-(HX63-HX64)</f>
        <v/>
      </c>
      <c r="HZ64">
        <f>MAX(0,HY64*(1+$E$38)-$F$38)</f>
        <v/>
      </c>
      <c r="IA64">
        <f>IA63-MIN(IA63,HZ64)</f>
        <v/>
      </c>
      <c r="IB64">
        <f>HZ64-(IA63-IA64)</f>
        <v/>
      </c>
      <c r="IC64">
        <f>MAX(0,IB64*(1+$E$38)-$F$38)</f>
        <v/>
      </c>
      <c r="ID64">
        <f>ID63-MIN(ID63,IC64)</f>
        <v/>
      </c>
      <c r="IE64">
        <f>IC64-(ID63-ID64)</f>
        <v/>
      </c>
      <c r="IF64">
        <f>MAX(0,IE64*(1+$E$38)-$F$38)</f>
        <v/>
      </c>
      <c r="IG64">
        <f>IG63-MIN(IG63,IF64)</f>
        <v/>
      </c>
      <c r="IH64">
        <f>IF64-(IG63-IG64)</f>
        <v/>
      </c>
      <c r="II64">
        <f>MAX(0,IH64*(1+$E$38)-$F$38)</f>
        <v/>
      </c>
      <c r="IJ64">
        <f>IJ63-MIN(IJ63,II64)</f>
        <v/>
      </c>
      <c r="IK64">
        <f>II64-(IJ63-IJ64)</f>
        <v/>
      </c>
      <c r="IL64">
        <f>MAX(0,IK64*(1+$E$38)-$F$38)</f>
        <v/>
      </c>
      <c r="IM64">
        <f>IM63-MIN(IM63,IL64)</f>
        <v/>
      </c>
      <c r="IN64">
        <f>IL64-(IM63-IM64)</f>
        <v/>
      </c>
      <c r="IO64">
        <f>MAX(0,IN64*(1+$E$38)-$F$38)</f>
        <v/>
      </c>
      <c r="IP64">
        <f>IP63-MIN(IP63,IO64)</f>
        <v/>
      </c>
      <c r="IQ64">
        <f>IO64-(IP63-IP64)</f>
        <v/>
      </c>
      <c r="IR64">
        <f>MAX(0,IQ64*(1+$E$38)-$F$38)</f>
        <v/>
      </c>
      <c r="IS64">
        <f>IS63-MIN(IS63,IR64)</f>
        <v/>
      </c>
      <c r="IT64">
        <f>IR64-(IS63-IS64)</f>
        <v/>
      </c>
      <c r="IU64">
        <f>MAX(0,IT64*(1+$E$38)-$F$38)</f>
        <v/>
      </c>
      <c r="IV64">
        <f>IV63-MIN(IV63,IU64)</f>
        <v/>
      </c>
      <c r="IW64">
        <f>IU64-(IV63-IV64)</f>
        <v/>
      </c>
      <c r="IX64">
        <f>MAX(0,IW64*(1+$E$38)-$F$38)</f>
        <v/>
      </c>
      <c r="IY64">
        <f>IY63-MIN(IY63,IX64)</f>
        <v/>
      </c>
      <c r="IZ64">
        <f>IX64-(IY63-IY64)</f>
        <v/>
      </c>
      <c r="JA64">
        <f>MAX(0,IZ64*(1+$E$38)-$F$38)</f>
        <v/>
      </c>
      <c r="JB64">
        <f>JB63-MIN(JB63,JA64)</f>
        <v/>
      </c>
      <c r="JC64">
        <f>JA64-(JB63-JB64)</f>
        <v/>
      </c>
      <c r="JD64">
        <f>MAX(0,JC64*(1+$E$38)-$F$38)</f>
        <v/>
      </c>
      <c r="JE64">
        <f>JE63-MIN(JE63,JD64)</f>
        <v/>
      </c>
      <c r="JF64">
        <f>JD64-(JE63-JE64)</f>
        <v/>
      </c>
      <c r="JG64">
        <f>MAX(0,JF64*(1+$E$38)-$F$38)</f>
        <v/>
      </c>
      <c r="JH64">
        <f>JH63-MIN(JH63,JG64)</f>
        <v/>
      </c>
      <c r="JI64">
        <f>JG64-(JH63-JH64)</f>
        <v/>
      </c>
      <c r="JJ64">
        <f>MAX(0,JI64*(1+$E$38)-$F$38)</f>
        <v/>
      </c>
      <c r="JK64">
        <f>JK63-MIN(JK63,JJ64)</f>
        <v/>
      </c>
      <c r="JL64">
        <f>JJ64-(JK63-JK64)</f>
        <v/>
      </c>
      <c r="JM64">
        <f>MAX(0,JL64*(1+$E$38)-$F$38)</f>
        <v/>
      </c>
      <c r="JN64">
        <f>JN63-MIN(JN63,JM64)</f>
        <v/>
      </c>
      <c r="JO64">
        <f>JM64-(JN63-JN64)</f>
        <v/>
      </c>
      <c r="JP64">
        <f>MAX(0,JO64*(1+$E$38)-$F$38)</f>
        <v/>
      </c>
      <c r="JQ64">
        <f>JQ63-MIN(JQ63,JP64)</f>
        <v/>
      </c>
      <c r="JR64">
        <f>JP64-(JQ63-JQ64)</f>
        <v/>
      </c>
      <c r="JS64">
        <f>MAX(0,JR64*(1+$E$38)-$F$38)</f>
        <v/>
      </c>
      <c r="JT64">
        <f>JT63-MIN(JT63,JS64)</f>
        <v/>
      </c>
      <c r="JU64">
        <f>JS64-(JT63-JT64)</f>
        <v/>
      </c>
      <c r="JV64">
        <f>MAX(0,JU64*(1+$E$38)-$F$38)</f>
        <v/>
      </c>
      <c r="JW64">
        <f>JW63-MIN(JW63,JV64)</f>
        <v/>
      </c>
      <c r="JX64">
        <f>JV64-(JW63-JW64)</f>
        <v/>
      </c>
      <c r="JY64">
        <f>MAX(0,JX64*(1+$E$38)-$F$38)</f>
        <v/>
      </c>
      <c r="JZ64">
        <f>JZ63-MIN(JZ63,JY64)</f>
        <v/>
      </c>
      <c r="KA64">
        <f>JY64-(JZ63-JZ64)</f>
        <v/>
      </c>
      <c r="KB64">
        <f>MAX(0,KA64*(1+$E$38)-$F$38)</f>
        <v/>
      </c>
      <c r="KC64">
        <f>KC63-MIN(KC63,KB64)</f>
        <v/>
      </c>
      <c r="KD64">
        <f>KB64-(KC63-KC64)</f>
        <v/>
      </c>
      <c r="KE64">
        <f>MAX(0,KD64*(1+$E$38)-$F$38)</f>
        <v/>
      </c>
      <c r="KF64">
        <f>KF63-MIN(KF63,KE64)</f>
        <v/>
      </c>
      <c r="KG64">
        <f>KE64-(KF63-KF64)</f>
        <v/>
      </c>
      <c r="KH64">
        <f>MAX(0,KG64*(1+$E$38)-$F$38)</f>
        <v/>
      </c>
      <c r="KI64">
        <f>KI63-MIN(KI63,KH64)</f>
        <v/>
      </c>
      <c r="KJ64">
        <f>KH64-(KI63-KI64)</f>
        <v/>
      </c>
      <c r="KK64">
        <f>MAX(0,KJ64*(1+$E$38)-$F$38)</f>
        <v/>
      </c>
      <c r="KL64">
        <f>KL63-MIN(KL63,KK64)</f>
        <v/>
      </c>
      <c r="KM64">
        <f>KK64-(KL63-KL64)</f>
        <v/>
      </c>
      <c r="KN64">
        <f>MAX(0,KM64*(1+$E$38)-$F$38)</f>
        <v/>
      </c>
      <c r="KO64">
        <f>KO63-MIN(KO63,KN64)</f>
        <v/>
      </c>
      <c r="KP64">
        <f>KN64-(KO63-KO64)</f>
        <v/>
      </c>
      <c r="KQ64">
        <f>MAX(0,KP64*(1+$E$38)-$F$38)</f>
        <v/>
      </c>
      <c r="KR64">
        <f>KR63-MIN(KR63,KQ64)</f>
        <v/>
      </c>
      <c r="KS64">
        <f>KQ64-(KR63-KR64)</f>
        <v/>
      </c>
      <c r="KT64">
        <f>MAX(0,KS64*(1+$E$38)-$F$38)</f>
        <v/>
      </c>
      <c r="KU64">
        <f>KU63-MIN(KU63,KT64)</f>
        <v/>
      </c>
      <c r="KV64">
        <f>KT64-(KU63-KU64)</f>
        <v/>
      </c>
      <c r="KW64">
        <f>MAX(0,KV64*(1+$E$38)-$F$38)</f>
        <v/>
      </c>
      <c r="KX64">
        <f>KX63-MIN(KX63,KW64)</f>
        <v/>
      </c>
      <c r="KY64">
        <f>KW64-(KX63-KX64)</f>
        <v/>
      </c>
      <c r="KZ64">
        <f>MAX(0,KY64*(1+$E$38)-$F$38)</f>
        <v/>
      </c>
      <c r="LA64">
        <f>LA63-MIN(LA63,KZ64)</f>
        <v/>
      </c>
      <c r="LB64">
        <f>KZ64-(LA63-LA64)</f>
        <v/>
      </c>
      <c r="LC64">
        <f>MAX(0,LB64*(1+$E$38)-$F$38)</f>
        <v/>
      </c>
      <c r="LD64">
        <f>LD63-MIN(LD63,LC64)</f>
        <v/>
      </c>
      <c r="LE64">
        <f>LC64-(LD63-LD64)</f>
        <v/>
      </c>
      <c r="LF64">
        <f>MAX(0,LE64*(1+$E$38)-$F$38)</f>
        <v/>
      </c>
      <c r="LG64">
        <f>LG63-MIN(LG63,LF64)</f>
        <v/>
      </c>
      <c r="LH64">
        <f>LF64-(LG63-LG64)</f>
        <v/>
      </c>
      <c r="LI64">
        <f>MAX(0,LH64*(1+$E$38)-$F$38)</f>
        <v/>
      </c>
      <c r="LJ64">
        <f>LJ63-MIN(LJ63,LI64)</f>
        <v/>
      </c>
      <c r="LK64">
        <f>LI64-(LJ63-LJ64)</f>
        <v/>
      </c>
      <c r="LL64">
        <f>MAX(0,LK64*(1+$E$38)-$F$38)</f>
        <v/>
      </c>
      <c r="LM64">
        <f>LM63-MIN(LM63,LL64)</f>
        <v/>
      </c>
      <c r="LN64">
        <f>LL64-(LM63-LM64)</f>
        <v/>
      </c>
      <c r="LO64">
        <f>MAX(0,LN64*(1+$E$38)-$F$38)</f>
        <v/>
      </c>
      <c r="LP64">
        <f>LP63-MIN(LP63,LO64)</f>
        <v/>
      </c>
      <c r="LQ64">
        <f>LO64-(LP63-LP64)</f>
        <v/>
      </c>
      <c r="LR64">
        <f>MAX(0,LQ64*(1+$E$38)-$F$38)</f>
        <v/>
      </c>
      <c r="LS64">
        <f>LS63-MIN(LS63,LR64)</f>
        <v/>
      </c>
      <c r="LT64">
        <f>LR64-(LS63-LS64)</f>
        <v/>
      </c>
      <c r="LU64">
        <f>MAX(0,LT64*(1+$E$38)-$F$38)</f>
        <v/>
      </c>
      <c r="LV64">
        <f>LV63-MIN(LV63,LU64)</f>
        <v/>
      </c>
      <c r="LW64">
        <f>LU64-(LV63-LV64)</f>
        <v/>
      </c>
      <c r="LX64">
        <f>MAX(0,LW64*(1+$E$38)-$F$38)</f>
        <v/>
      </c>
      <c r="LY64">
        <f>LY63-MIN(LY63,LX64)</f>
        <v/>
      </c>
      <c r="LZ64">
        <f>LX64-(LY63-LY64)</f>
        <v/>
      </c>
      <c r="MA64">
        <f>MAX(0,LZ64*(1+$E$38)-$F$38)</f>
        <v/>
      </c>
      <c r="MB64">
        <f>MB63-MIN(MB63,MA64)</f>
        <v/>
      </c>
      <c r="MC64">
        <f>MA64-(MB63-MB64)</f>
        <v/>
      </c>
      <c r="MD64">
        <f>MAX(0,MC64*(1+$E$38)-$F$38)</f>
        <v/>
      </c>
      <c r="ME64">
        <f>ME63-MIN(ME63,MD64)</f>
        <v/>
      </c>
      <c r="MF64">
        <f>MD64-(ME63-ME64)</f>
        <v/>
      </c>
      <c r="MG64">
        <f>MAX(0,MF64*(1+$E$38)-$F$38)</f>
        <v/>
      </c>
      <c r="MH64">
        <f>MH63-MIN(MH63,MG64)</f>
        <v/>
      </c>
      <c r="MI64">
        <f>MG64-(MH63-MH64)</f>
        <v/>
      </c>
      <c r="MJ64">
        <f>MAX(0,MI64*(1+$E$38)-$F$38)</f>
        <v/>
      </c>
      <c r="MK64">
        <f>MK63-MIN(MK63,MJ64)</f>
        <v/>
      </c>
      <c r="ML64">
        <f>MJ64-(MK63-MK64)</f>
        <v/>
      </c>
      <c r="MM64">
        <f>MAX(0,ML64*(1+$E$38)-$F$38)</f>
        <v/>
      </c>
      <c r="MN64">
        <f>MN63-MIN(MN63,MM64)</f>
        <v/>
      </c>
      <c r="MO64">
        <f>MM64-(MN63-MN64)</f>
        <v/>
      </c>
      <c r="MP64">
        <f>MAX(0,MO64*(1+$E$38)-$F$38)</f>
        <v/>
      </c>
      <c r="MQ64">
        <f>MQ63-MIN(MQ63,MP64)</f>
        <v/>
      </c>
      <c r="MR64">
        <f>MP64-(MQ63-MQ64)</f>
        <v/>
      </c>
      <c r="MS64">
        <f>MAX(0,MR64*(1+$E$38)-$F$38)</f>
        <v/>
      </c>
      <c r="MT64">
        <f>MT63-MIN(MT63,MS64)</f>
        <v/>
      </c>
      <c r="MU64">
        <f>MS64-(MT63-MT64)</f>
        <v/>
      </c>
      <c r="MV64">
        <f>MAX(0,MU64*(1+$E$38)-$F$38)</f>
        <v/>
      </c>
      <c r="MW64">
        <f>MW63-MIN(MW63,MV64)</f>
        <v/>
      </c>
      <c r="MX64">
        <f>MV64-(MW63-MW64)</f>
        <v/>
      </c>
    </row>
    <row r="69">
      <c r="A69" t="inlineStr">
        <is>
          <t>closing marker</t>
        </is>
      </c>
      <c r="E69" t="n">
        <v>1</v>
      </c>
      <c r="H69" t="n">
        <v>1</v>
      </c>
      <c r="K69" t="n">
        <v>1</v>
      </c>
      <c r="N69" t="n">
        <v>1</v>
      </c>
      <c r="Q69" t="n">
        <v>1</v>
      </c>
      <c r="T69" t="n">
        <v>1</v>
      </c>
      <c r="W69" t="n">
        <v>1</v>
      </c>
      <c r="Z69" t="n">
        <v>1</v>
      </c>
      <c r="AC69" t="n">
        <v>1</v>
      </c>
      <c r="AF69" t="n">
        <v>1</v>
      </c>
      <c r="AI69" t="n">
        <v>1</v>
      </c>
      <c r="AL69" t="n">
        <v>1</v>
      </c>
      <c r="AO69" t="n">
        <v>1</v>
      </c>
      <c r="AR69" t="n">
        <v>1</v>
      </c>
      <c r="AU69" t="n">
        <v>1</v>
      </c>
      <c r="AX69" t="n">
        <v>1</v>
      </c>
      <c r="BA69" t="n">
        <v>1</v>
      </c>
      <c r="BD69" t="n">
        <v>1</v>
      </c>
      <c r="BG69" t="n">
        <v>1</v>
      </c>
      <c r="BJ69" t="n">
        <v>1</v>
      </c>
      <c r="BM69" t="n">
        <v>1</v>
      </c>
      <c r="BP69" t="n">
        <v>1</v>
      </c>
      <c r="BS69" t="n">
        <v>1</v>
      </c>
      <c r="BV69" t="n">
        <v>1</v>
      </c>
      <c r="BY69" t="n">
        <v>1</v>
      </c>
      <c r="CB69" t="n">
        <v>1</v>
      </c>
      <c r="CE69" t="n">
        <v>1</v>
      </c>
      <c r="CH69" t="n">
        <v>1</v>
      </c>
      <c r="CK69" t="n">
        <v>1</v>
      </c>
      <c r="CN69" t="n">
        <v>1</v>
      </c>
      <c r="CQ69" t="n">
        <v>1</v>
      </c>
      <c r="CT69" t="n">
        <v>1</v>
      </c>
      <c r="CW69" t="n">
        <v>1</v>
      </c>
      <c r="CZ69" t="n">
        <v>1</v>
      </c>
      <c r="DC69" t="n">
        <v>1</v>
      </c>
      <c r="DF69" t="n">
        <v>1</v>
      </c>
      <c r="DI69" t="n">
        <v>1</v>
      </c>
      <c r="DL69" t="n">
        <v>1</v>
      </c>
      <c r="DO69" t="n">
        <v>1</v>
      </c>
      <c r="DR69" t="n">
        <v>1</v>
      </c>
      <c r="DU69" t="n">
        <v>1</v>
      </c>
      <c r="DX69" t="n">
        <v>1</v>
      </c>
      <c r="EA69" t="n">
        <v>1</v>
      </c>
      <c r="ED69" t="n">
        <v>1</v>
      </c>
      <c r="EG69" t="n">
        <v>1</v>
      </c>
      <c r="EJ69" t="n">
        <v>1</v>
      </c>
      <c r="EM69" t="n">
        <v>1</v>
      </c>
      <c r="EP69" t="n">
        <v>1</v>
      </c>
      <c r="ES69" t="n">
        <v>1</v>
      </c>
      <c r="EV69" t="n">
        <v>1</v>
      </c>
      <c r="EY69" t="n">
        <v>1</v>
      </c>
      <c r="FB69" t="n">
        <v>1</v>
      </c>
      <c r="FE69" t="n">
        <v>1</v>
      </c>
      <c r="FH69" t="n">
        <v>1</v>
      </c>
      <c r="FK69" t="n">
        <v>1</v>
      </c>
      <c r="FN69" t="n">
        <v>1</v>
      </c>
      <c r="FQ69" t="n">
        <v>1</v>
      </c>
      <c r="FT69" t="n">
        <v>1</v>
      </c>
      <c r="FW69" t="n">
        <v>1</v>
      </c>
      <c r="FZ69" t="n">
        <v>1</v>
      </c>
      <c r="GC69" t="n">
        <v>1</v>
      </c>
      <c r="GF69" t="n">
        <v>1</v>
      </c>
      <c r="GI69" t="n">
        <v>1</v>
      </c>
      <c r="GL69" t="n">
        <v>1</v>
      </c>
      <c r="GO69" t="n">
        <v>1</v>
      </c>
      <c r="GR69" t="n">
        <v>1</v>
      </c>
      <c r="GU69" t="n">
        <v>1</v>
      </c>
      <c r="GX69" t="n">
        <v>1</v>
      </c>
      <c r="HA69" t="n">
        <v>1</v>
      </c>
      <c r="HD69" t="n">
        <v>1</v>
      </c>
      <c r="HG69" t="n">
        <v>1</v>
      </c>
      <c r="HJ69" t="n">
        <v>1</v>
      </c>
      <c r="HM69" t="n">
        <v>1</v>
      </c>
      <c r="HP69" t="n">
        <v>1</v>
      </c>
      <c r="HS69" t="n">
        <v>1</v>
      </c>
      <c r="HV69" t="n">
        <v>1</v>
      </c>
      <c r="HY69" t="n">
        <v>1</v>
      </c>
      <c r="IB69" t="n">
        <v>1</v>
      </c>
      <c r="IE69" t="n">
        <v>1</v>
      </c>
      <c r="IH69" t="n">
        <v>1</v>
      </c>
      <c r="IK69" t="n">
        <v>1</v>
      </c>
      <c r="IN69" t="n">
        <v>1</v>
      </c>
      <c r="IQ69" t="n">
        <v>1</v>
      </c>
      <c r="IT69" t="n">
        <v>1</v>
      </c>
      <c r="IW69" t="n">
        <v>1</v>
      </c>
      <c r="IZ69" t="n">
        <v>1</v>
      </c>
      <c r="JC69" t="n">
        <v>1</v>
      </c>
      <c r="JF69" t="n">
        <v>1</v>
      </c>
      <c r="JI69" t="n">
        <v>1</v>
      </c>
      <c r="JL69" t="n">
        <v>1</v>
      </c>
      <c r="JO69" t="n">
        <v>1</v>
      </c>
      <c r="JR69" t="n">
        <v>1</v>
      </c>
      <c r="JU69" t="n">
        <v>1</v>
      </c>
      <c r="JX69" t="n">
        <v>1</v>
      </c>
      <c r="KA69" t="n">
        <v>1</v>
      </c>
      <c r="KD69" t="n">
        <v>1</v>
      </c>
      <c r="KG69" t="n">
        <v>1</v>
      </c>
      <c r="KJ69" t="n">
        <v>1</v>
      </c>
      <c r="KM69" t="n">
        <v>1</v>
      </c>
      <c r="KP69" t="n">
        <v>1</v>
      </c>
      <c r="KS69" t="n">
        <v>1</v>
      </c>
      <c r="KV69" t="n">
        <v>1</v>
      </c>
      <c r="KY69" t="n">
        <v>1</v>
      </c>
      <c r="LB69" t="n">
        <v>1</v>
      </c>
      <c r="LE69" t="n">
        <v>1</v>
      </c>
      <c r="LH69" t="n">
        <v>1</v>
      </c>
      <c r="LK69" t="n">
        <v>1</v>
      </c>
      <c r="LN69" t="n">
        <v>1</v>
      </c>
      <c r="LQ69" t="n">
        <v>1</v>
      </c>
      <c r="LT69" t="n">
        <v>1</v>
      </c>
      <c r="LW69" t="n">
        <v>1</v>
      </c>
      <c r="LZ69" t="n">
        <v>1</v>
      </c>
      <c r="MC69" t="n">
        <v>1</v>
      </c>
      <c r="MF69" t="n">
        <v>1</v>
      </c>
      <c r="MI69" t="n">
        <v>1</v>
      </c>
      <c r="ML69" t="n">
        <v>1</v>
      </c>
      <c r="MO69" t="n">
        <v>1</v>
      </c>
      <c r="MR69" t="n">
        <v>1</v>
      </c>
      <c r="MU69" t="n">
        <v>1</v>
      </c>
      <c r="MX69" t="n">
        <v>1</v>
      </c>
    </row>
    <row r="70">
      <c r="A70" t="inlineStr">
        <is>
          <t>month</t>
        </is>
      </c>
      <c r="C70" t="n">
        <v>1</v>
      </c>
      <c r="F70" t="n">
        <v>2</v>
      </c>
      <c r="I70" t="n">
        <v>3</v>
      </c>
      <c r="L70" t="n">
        <v>4</v>
      </c>
      <c r="O70" t="n">
        <v>5</v>
      </c>
      <c r="R70" t="n">
        <v>6</v>
      </c>
      <c r="U70" t="n">
        <v>7</v>
      </c>
      <c r="X70" t="n">
        <v>8</v>
      </c>
      <c r="AA70" t="n">
        <v>9</v>
      </c>
      <c r="AD70" t="n">
        <v>10</v>
      </c>
      <c r="AG70" t="n">
        <v>11</v>
      </c>
      <c r="AJ70" t="n">
        <v>12</v>
      </c>
      <c r="AM70" t="n">
        <v>13</v>
      </c>
      <c r="AP70" t="n">
        <v>14</v>
      </c>
      <c r="AS70" t="n">
        <v>15</v>
      </c>
      <c r="AV70" t="n">
        <v>16</v>
      </c>
      <c r="AY70" t="n">
        <v>17</v>
      </c>
      <c r="BB70" t="n">
        <v>18</v>
      </c>
      <c r="BE70" t="n">
        <v>19</v>
      </c>
      <c r="BH70" t="n">
        <v>20</v>
      </c>
      <c r="BK70" t="n">
        <v>21</v>
      </c>
      <c r="BN70" t="n">
        <v>22</v>
      </c>
      <c r="BQ70" t="n">
        <v>23</v>
      </c>
      <c r="BT70" t="n">
        <v>24</v>
      </c>
      <c r="BW70" t="n">
        <v>25</v>
      </c>
      <c r="BZ70" t="n">
        <v>26</v>
      </c>
      <c r="CC70" t="n">
        <v>27</v>
      </c>
      <c r="CF70" t="n">
        <v>28</v>
      </c>
      <c r="CI70" t="n">
        <v>29</v>
      </c>
      <c r="CL70" t="n">
        <v>30</v>
      </c>
      <c r="CO70" t="n">
        <v>31</v>
      </c>
      <c r="CR70" t="n">
        <v>32</v>
      </c>
      <c r="CU70" t="n">
        <v>33</v>
      </c>
      <c r="CX70" t="n">
        <v>34</v>
      </c>
      <c r="DA70" t="n">
        <v>35</v>
      </c>
      <c r="DD70" t="n">
        <v>36</v>
      </c>
      <c r="DG70" t="n">
        <v>37</v>
      </c>
      <c r="DJ70" t="n">
        <v>38</v>
      </c>
      <c r="DM70" t="n">
        <v>39</v>
      </c>
      <c r="DP70" t="n">
        <v>40</v>
      </c>
      <c r="DS70" t="n">
        <v>41</v>
      </c>
      <c r="DV70" t="n">
        <v>42</v>
      </c>
      <c r="DY70" t="n">
        <v>43</v>
      </c>
      <c r="EB70" t="n">
        <v>44</v>
      </c>
      <c r="EE70" t="n">
        <v>45</v>
      </c>
      <c r="EH70" t="n">
        <v>46</v>
      </c>
      <c r="EK70" t="n">
        <v>47</v>
      </c>
      <c r="EN70" t="n">
        <v>48</v>
      </c>
      <c r="EQ70" t="n">
        <v>49</v>
      </c>
      <c r="ET70" t="n">
        <v>50</v>
      </c>
      <c r="EW70" t="n">
        <v>51</v>
      </c>
      <c r="EZ70" t="n">
        <v>52</v>
      </c>
      <c r="FC70" t="n">
        <v>53</v>
      </c>
      <c r="FF70" t="n">
        <v>54</v>
      </c>
      <c r="FI70" t="n">
        <v>55</v>
      </c>
      <c r="FL70" t="n">
        <v>56</v>
      </c>
      <c r="FO70" t="n">
        <v>57</v>
      </c>
      <c r="FR70" t="n">
        <v>58</v>
      </c>
      <c r="FU70" t="n">
        <v>59</v>
      </c>
      <c r="FX70" t="n">
        <v>60</v>
      </c>
      <c r="GA70" t="n">
        <v>61</v>
      </c>
      <c r="GD70" t="n">
        <v>62</v>
      </c>
      <c r="GG70" t="n">
        <v>63</v>
      </c>
      <c r="GJ70" t="n">
        <v>64</v>
      </c>
      <c r="GM70" t="n">
        <v>65</v>
      </c>
      <c r="GP70" t="n">
        <v>66</v>
      </c>
      <c r="GS70" t="n">
        <v>67</v>
      </c>
      <c r="GV70" t="n">
        <v>68</v>
      </c>
      <c r="GY70" t="n">
        <v>69</v>
      </c>
      <c r="HB70" t="n">
        <v>70</v>
      </c>
      <c r="HE70" t="n">
        <v>71</v>
      </c>
      <c r="HH70" t="n">
        <v>72</v>
      </c>
      <c r="HK70" t="n">
        <v>73</v>
      </c>
      <c r="HN70" t="n">
        <v>74</v>
      </c>
      <c r="HQ70" t="n">
        <v>75</v>
      </c>
      <c r="HT70" t="n">
        <v>76</v>
      </c>
      <c r="HW70" t="n">
        <v>77</v>
      </c>
      <c r="HZ70" t="n">
        <v>78</v>
      </c>
      <c r="IC70" t="n">
        <v>79</v>
      </c>
      <c r="IF70" t="n">
        <v>80</v>
      </c>
      <c r="II70" t="n">
        <v>81</v>
      </c>
      <c r="IL70" t="n">
        <v>82</v>
      </c>
      <c r="IO70" t="n">
        <v>83</v>
      </c>
      <c r="IR70" t="n">
        <v>84</v>
      </c>
      <c r="IU70" t="n">
        <v>85</v>
      </c>
      <c r="IX70" t="n">
        <v>86</v>
      </c>
      <c r="JA70" t="n">
        <v>87</v>
      </c>
      <c r="JD70" t="n">
        <v>88</v>
      </c>
      <c r="JG70" t="n">
        <v>89</v>
      </c>
      <c r="JJ70" t="n">
        <v>90</v>
      </c>
      <c r="JM70" t="n">
        <v>91</v>
      </c>
      <c r="JP70" t="n">
        <v>92</v>
      </c>
      <c r="JS70" t="n">
        <v>93</v>
      </c>
      <c r="JV70" t="n">
        <v>94</v>
      </c>
      <c r="JY70" t="n">
        <v>95</v>
      </c>
      <c r="KB70" t="n">
        <v>96</v>
      </c>
      <c r="KE70" t="n">
        <v>97</v>
      </c>
      <c r="KH70" t="n">
        <v>98</v>
      </c>
      <c r="KK70" t="n">
        <v>99</v>
      </c>
      <c r="KN70" t="n">
        <v>100</v>
      </c>
      <c r="KQ70" t="n">
        <v>101</v>
      </c>
      <c r="KT70" t="n">
        <v>102</v>
      </c>
      <c r="KW70" t="n">
        <v>103</v>
      </c>
      <c r="KZ70" t="n">
        <v>104</v>
      </c>
      <c r="LC70" t="n">
        <v>105</v>
      </c>
      <c r="LF70" t="n">
        <v>106</v>
      </c>
      <c r="LI70" t="n">
        <v>107</v>
      </c>
      <c r="LL70" t="n">
        <v>108</v>
      </c>
      <c r="LO70" t="n">
        <v>109</v>
      </c>
      <c r="LR70" t="n">
        <v>110</v>
      </c>
      <c r="LU70" t="n">
        <v>111</v>
      </c>
      <c r="LX70" t="n">
        <v>112</v>
      </c>
      <c r="MA70" t="n">
        <v>113</v>
      </c>
      <c r="MD70" t="n">
        <v>114</v>
      </c>
      <c r="MG70" t="n">
        <v>115</v>
      </c>
      <c r="MJ70" t="n">
        <v>116</v>
      </c>
      <c r="MM70" t="n">
        <v>117</v>
      </c>
      <c r="MP70" t="n">
        <v>118</v>
      </c>
      <c r="MS70" t="n">
        <v>119</v>
      </c>
      <c r="MV70" t="n">
        <v>120</v>
      </c>
    </row>
    <row r="71">
      <c r="A71" t="inlineStr">
        <is>
          <t>sum of minimums</t>
        </is>
      </c>
      <c r="C71">
        <f>SUMPRODUCT(B75:B89,$K$24:$K$38)+SUM(B75:B89)-SUM(C75:C89)</f>
        <v/>
      </c>
      <c r="F71">
        <f>SUMPRODUCT(E75:E89,$K$24:$K$38)+SUM(E75:E89)-SUM(F75:F89)</f>
        <v/>
      </c>
      <c r="I71">
        <f>SUMPRODUCT(H75:H89,$K$24:$K$38)+SUM(H75:H89)-SUM(I75:I89)</f>
        <v/>
      </c>
      <c r="L71">
        <f>SUMPRODUCT(K75:K89,$K$24:$K$38)+SUM(K75:K89)-SUM(L75:L89)</f>
        <v/>
      </c>
      <c r="O71">
        <f>SUMPRODUCT(N75:N89,$K$24:$K$38)+SUM(N75:N89)-SUM(O75:O89)</f>
        <v/>
      </c>
      <c r="R71">
        <f>SUMPRODUCT(Q75:Q89,$K$24:$K$38)+SUM(Q75:Q89)-SUM(R75:R89)</f>
        <v/>
      </c>
      <c r="U71">
        <f>SUMPRODUCT(T75:T89,$K$24:$K$38)+SUM(T75:T89)-SUM(U75:U89)</f>
        <v/>
      </c>
      <c r="X71">
        <f>SUMPRODUCT(W75:W89,$K$24:$K$38)+SUM(W75:W89)-SUM(X75:X89)</f>
        <v/>
      </c>
      <c r="AA71">
        <f>SUMPRODUCT(Z75:Z89,$K$24:$K$38)+SUM(Z75:Z89)-SUM(AA75:AA89)</f>
        <v/>
      </c>
      <c r="AD71">
        <f>SUMPRODUCT(AC75:AC89,$K$24:$K$38)+SUM(AC75:AC89)-SUM(AD75:AD89)</f>
        <v/>
      </c>
      <c r="AG71">
        <f>SUMPRODUCT(AF75:AF89,$K$24:$K$38)+SUM(AF75:AF89)-SUM(AG75:AG89)</f>
        <v/>
      </c>
      <c r="AJ71">
        <f>SUMPRODUCT(AI75:AI89,$K$24:$K$38)+SUM(AI75:AI89)-SUM(AJ75:AJ89)</f>
        <v/>
      </c>
      <c r="AM71">
        <f>SUMPRODUCT(AL75:AL89,$K$24:$K$38)+SUM(AL75:AL89)-SUM(AM75:AM89)</f>
        <v/>
      </c>
      <c r="AP71">
        <f>SUMPRODUCT(AO75:AO89,$K$24:$K$38)+SUM(AO75:AO89)-SUM(AP75:AP89)</f>
        <v/>
      </c>
      <c r="AS71">
        <f>SUMPRODUCT(AR75:AR89,$K$24:$K$38)+SUM(AR75:AR89)-SUM(AS75:AS89)</f>
        <v/>
      </c>
      <c r="AV71">
        <f>SUMPRODUCT(AU75:AU89,$K$24:$K$38)+SUM(AU75:AU89)-SUM(AV75:AV89)</f>
        <v/>
      </c>
      <c r="AY71">
        <f>SUMPRODUCT(AX75:AX89,$K$24:$K$38)+SUM(AX75:AX89)-SUM(AY75:AY89)</f>
        <v/>
      </c>
      <c r="BB71">
        <f>SUMPRODUCT(BA75:BA89,$K$24:$K$38)+SUM(BA75:BA89)-SUM(BB75:BB89)</f>
        <v/>
      </c>
      <c r="BE71">
        <f>SUMPRODUCT(BD75:BD89,$K$24:$K$38)+SUM(BD75:BD89)-SUM(BE75:BE89)</f>
        <v/>
      </c>
      <c r="BH71">
        <f>SUMPRODUCT(BG75:BG89,$K$24:$K$38)+SUM(BG75:BG89)-SUM(BH75:BH89)</f>
        <v/>
      </c>
      <c r="BK71">
        <f>SUMPRODUCT(BJ75:BJ89,$K$24:$K$38)+SUM(BJ75:BJ89)-SUM(BK75:BK89)</f>
        <v/>
      </c>
      <c r="BN71">
        <f>SUMPRODUCT(BM75:BM89,$K$24:$K$38)+SUM(BM75:BM89)-SUM(BN75:BN89)</f>
        <v/>
      </c>
      <c r="BQ71">
        <f>SUMPRODUCT(BP75:BP89,$K$24:$K$38)+SUM(BP75:BP89)-SUM(BQ75:BQ89)</f>
        <v/>
      </c>
      <c r="BT71">
        <f>SUMPRODUCT(BS75:BS89,$K$24:$K$38)+SUM(BS75:BS89)-SUM(BT75:BT89)</f>
        <v/>
      </c>
      <c r="BW71">
        <f>SUMPRODUCT(BV75:BV89,$K$24:$K$38)+SUM(BV75:BV89)-SUM(BW75:BW89)</f>
        <v/>
      </c>
      <c r="BZ71">
        <f>SUMPRODUCT(BY75:BY89,$K$24:$K$38)+SUM(BY75:BY89)-SUM(BZ75:BZ89)</f>
        <v/>
      </c>
      <c r="CC71">
        <f>SUMPRODUCT(CB75:CB89,$K$24:$K$38)+SUM(CB75:CB89)-SUM(CC75:CC89)</f>
        <v/>
      </c>
      <c r="CF71">
        <f>SUMPRODUCT(CE75:CE89,$K$24:$K$38)+SUM(CE75:CE89)-SUM(CF75:CF89)</f>
        <v/>
      </c>
      <c r="CI71">
        <f>SUMPRODUCT(CH75:CH89,$K$24:$K$38)+SUM(CH75:CH89)-SUM(CI75:CI89)</f>
        <v/>
      </c>
      <c r="CL71">
        <f>SUMPRODUCT(CK75:CK89,$K$24:$K$38)+SUM(CK75:CK89)-SUM(CL75:CL89)</f>
        <v/>
      </c>
      <c r="CO71">
        <f>SUMPRODUCT(CN75:CN89,$K$24:$K$38)+SUM(CN75:CN89)-SUM(CO75:CO89)</f>
        <v/>
      </c>
      <c r="CR71">
        <f>SUMPRODUCT(CQ75:CQ89,$K$24:$K$38)+SUM(CQ75:CQ89)-SUM(CR75:CR89)</f>
        <v/>
      </c>
      <c r="CU71">
        <f>SUMPRODUCT(CT75:CT89,$K$24:$K$38)+SUM(CT75:CT89)-SUM(CU75:CU89)</f>
        <v/>
      </c>
      <c r="CX71">
        <f>SUMPRODUCT(CW75:CW89,$K$24:$K$38)+SUM(CW75:CW89)-SUM(CX75:CX89)</f>
        <v/>
      </c>
      <c r="DA71">
        <f>SUMPRODUCT(CZ75:CZ89,$K$24:$K$38)+SUM(CZ75:CZ89)-SUM(DA75:DA89)</f>
        <v/>
      </c>
      <c r="DD71">
        <f>SUMPRODUCT(DC75:DC89,$K$24:$K$38)+SUM(DC75:DC89)-SUM(DD75:DD89)</f>
        <v/>
      </c>
      <c r="DG71">
        <f>SUMPRODUCT(DF75:DF89,$K$24:$K$38)+SUM(DF75:DF89)-SUM(DG75:DG89)</f>
        <v/>
      </c>
      <c r="DJ71">
        <f>SUMPRODUCT(DI75:DI89,$K$24:$K$38)+SUM(DI75:DI89)-SUM(DJ75:DJ89)</f>
        <v/>
      </c>
      <c r="DM71">
        <f>SUMPRODUCT(DL75:DL89,$K$24:$K$38)+SUM(DL75:DL89)-SUM(DM75:DM89)</f>
        <v/>
      </c>
      <c r="DP71">
        <f>SUMPRODUCT(DO75:DO89,$K$24:$K$38)+SUM(DO75:DO89)-SUM(DP75:DP89)</f>
        <v/>
      </c>
      <c r="DS71">
        <f>SUMPRODUCT(DR75:DR89,$K$24:$K$38)+SUM(DR75:DR89)-SUM(DS75:DS89)</f>
        <v/>
      </c>
      <c r="DV71">
        <f>SUMPRODUCT(DU75:DU89,$K$24:$K$38)+SUM(DU75:DU89)-SUM(DV75:DV89)</f>
        <v/>
      </c>
      <c r="DY71">
        <f>SUMPRODUCT(DX75:DX89,$K$24:$K$38)+SUM(DX75:DX89)-SUM(DY75:DY89)</f>
        <v/>
      </c>
      <c r="EB71">
        <f>SUMPRODUCT(EA75:EA89,$K$24:$K$38)+SUM(EA75:EA89)-SUM(EB75:EB89)</f>
        <v/>
      </c>
      <c r="EE71">
        <f>SUMPRODUCT(ED75:ED89,$K$24:$K$38)+SUM(ED75:ED89)-SUM(EE75:EE89)</f>
        <v/>
      </c>
      <c r="EH71">
        <f>SUMPRODUCT(EG75:EG89,$K$24:$K$38)+SUM(EG75:EG89)-SUM(EH75:EH89)</f>
        <v/>
      </c>
      <c r="EK71">
        <f>SUMPRODUCT(EJ75:EJ89,$K$24:$K$38)+SUM(EJ75:EJ89)-SUM(EK75:EK89)</f>
        <v/>
      </c>
      <c r="EN71">
        <f>SUMPRODUCT(EM75:EM89,$K$24:$K$38)+SUM(EM75:EM89)-SUM(EN75:EN89)</f>
        <v/>
      </c>
      <c r="EQ71">
        <f>SUMPRODUCT(EP75:EP89,$K$24:$K$38)+SUM(EP75:EP89)-SUM(EQ75:EQ89)</f>
        <v/>
      </c>
      <c r="ET71">
        <f>SUMPRODUCT(ES75:ES89,$K$24:$K$38)+SUM(ES75:ES89)-SUM(ET75:ET89)</f>
        <v/>
      </c>
      <c r="EW71">
        <f>SUMPRODUCT(EV75:EV89,$K$24:$K$38)+SUM(EV75:EV89)-SUM(EW75:EW89)</f>
        <v/>
      </c>
      <c r="EZ71">
        <f>SUMPRODUCT(EY75:EY89,$K$24:$K$38)+SUM(EY75:EY89)-SUM(EZ75:EZ89)</f>
        <v/>
      </c>
      <c r="FC71">
        <f>SUMPRODUCT(FB75:FB89,$K$24:$K$38)+SUM(FB75:FB89)-SUM(FC75:FC89)</f>
        <v/>
      </c>
      <c r="FF71">
        <f>SUMPRODUCT(FE75:FE89,$K$24:$K$38)+SUM(FE75:FE89)-SUM(FF75:FF89)</f>
        <v/>
      </c>
      <c r="FI71">
        <f>SUMPRODUCT(FH75:FH89,$K$24:$K$38)+SUM(FH75:FH89)-SUM(FI75:FI89)</f>
        <v/>
      </c>
      <c r="FL71">
        <f>SUMPRODUCT(FK75:FK89,$K$24:$K$38)+SUM(FK75:FK89)-SUM(FL75:FL89)</f>
        <v/>
      </c>
      <c r="FO71">
        <f>SUMPRODUCT(FN75:FN89,$K$24:$K$38)+SUM(FN75:FN89)-SUM(FO75:FO89)</f>
        <v/>
      </c>
      <c r="FR71">
        <f>SUMPRODUCT(FQ75:FQ89,$K$24:$K$38)+SUM(FQ75:FQ89)-SUM(FR75:FR89)</f>
        <v/>
      </c>
      <c r="FU71">
        <f>SUMPRODUCT(FT75:FT89,$K$24:$K$38)+SUM(FT75:FT89)-SUM(FU75:FU89)</f>
        <v/>
      </c>
      <c r="FX71">
        <f>SUMPRODUCT(FW75:FW89,$K$24:$K$38)+SUM(FW75:FW89)-SUM(FX75:FX89)</f>
        <v/>
      </c>
      <c r="GA71">
        <f>SUMPRODUCT(FZ75:FZ89,$K$24:$K$38)+SUM(FZ75:FZ89)-SUM(GA75:GA89)</f>
        <v/>
      </c>
      <c r="GD71">
        <f>SUMPRODUCT(GC75:GC89,$K$24:$K$38)+SUM(GC75:GC89)-SUM(GD75:GD89)</f>
        <v/>
      </c>
      <c r="GG71">
        <f>SUMPRODUCT(GF75:GF89,$K$24:$K$38)+SUM(GF75:GF89)-SUM(GG75:GG89)</f>
        <v/>
      </c>
      <c r="GJ71">
        <f>SUMPRODUCT(GI75:GI89,$K$24:$K$38)+SUM(GI75:GI89)-SUM(GJ75:GJ89)</f>
        <v/>
      </c>
      <c r="GM71">
        <f>SUMPRODUCT(GL75:GL89,$K$24:$K$38)+SUM(GL75:GL89)-SUM(GM75:GM89)</f>
        <v/>
      </c>
      <c r="GP71">
        <f>SUMPRODUCT(GO75:GO89,$K$24:$K$38)+SUM(GO75:GO89)-SUM(GP75:GP89)</f>
        <v/>
      </c>
      <c r="GS71">
        <f>SUMPRODUCT(GR75:GR89,$K$24:$K$38)+SUM(GR75:GR89)-SUM(GS75:GS89)</f>
        <v/>
      </c>
      <c r="GV71">
        <f>SUMPRODUCT(GU75:GU89,$K$24:$K$38)+SUM(GU75:GU89)-SUM(GV75:GV89)</f>
        <v/>
      </c>
      <c r="GY71">
        <f>SUMPRODUCT(GX75:GX89,$K$24:$K$38)+SUM(GX75:GX89)-SUM(GY75:GY89)</f>
        <v/>
      </c>
      <c r="HB71">
        <f>SUMPRODUCT(HA75:HA89,$K$24:$K$38)+SUM(HA75:HA89)-SUM(HB75:HB89)</f>
        <v/>
      </c>
      <c r="HE71">
        <f>SUMPRODUCT(HD75:HD89,$K$24:$K$38)+SUM(HD75:HD89)-SUM(HE75:HE89)</f>
        <v/>
      </c>
      <c r="HH71">
        <f>SUMPRODUCT(HG75:HG89,$K$24:$K$38)+SUM(HG75:HG89)-SUM(HH75:HH89)</f>
        <v/>
      </c>
      <c r="HK71">
        <f>SUMPRODUCT(HJ75:HJ89,$K$24:$K$38)+SUM(HJ75:HJ89)-SUM(HK75:HK89)</f>
        <v/>
      </c>
      <c r="HN71">
        <f>SUMPRODUCT(HM75:HM89,$K$24:$K$38)+SUM(HM75:HM89)-SUM(HN75:HN89)</f>
        <v/>
      </c>
      <c r="HQ71">
        <f>SUMPRODUCT(HP75:HP89,$K$24:$K$38)+SUM(HP75:HP89)-SUM(HQ75:HQ89)</f>
        <v/>
      </c>
      <c r="HT71">
        <f>SUMPRODUCT(HS75:HS89,$K$24:$K$38)+SUM(HS75:HS89)-SUM(HT75:HT89)</f>
        <v/>
      </c>
      <c r="HW71">
        <f>SUMPRODUCT(HV75:HV89,$K$24:$K$38)+SUM(HV75:HV89)-SUM(HW75:HW89)</f>
        <v/>
      </c>
      <c r="HZ71">
        <f>SUMPRODUCT(HY75:HY89,$K$24:$K$38)+SUM(HY75:HY89)-SUM(HZ75:HZ89)</f>
        <v/>
      </c>
      <c r="IC71">
        <f>SUMPRODUCT(IB75:IB89,$K$24:$K$38)+SUM(IB75:IB89)-SUM(IC75:IC89)</f>
        <v/>
      </c>
      <c r="IF71">
        <f>SUMPRODUCT(IE75:IE89,$K$24:$K$38)+SUM(IE75:IE89)-SUM(IF75:IF89)</f>
        <v/>
      </c>
      <c r="II71">
        <f>SUMPRODUCT(IH75:IH89,$K$24:$K$38)+SUM(IH75:IH89)-SUM(II75:II89)</f>
        <v/>
      </c>
      <c r="IL71">
        <f>SUMPRODUCT(IK75:IK89,$K$24:$K$38)+SUM(IK75:IK89)-SUM(IL75:IL89)</f>
        <v/>
      </c>
      <c r="IO71">
        <f>SUMPRODUCT(IN75:IN89,$K$24:$K$38)+SUM(IN75:IN89)-SUM(IO75:IO89)</f>
        <v/>
      </c>
      <c r="IR71">
        <f>SUMPRODUCT(IQ75:IQ89,$K$24:$K$38)+SUM(IQ75:IQ89)-SUM(IR75:IR89)</f>
        <v/>
      </c>
      <c r="IU71">
        <f>SUMPRODUCT(IT75:IT89,$K$24:$K$38)+SUM(IT75:IT89)-SUM(IU75:IU89)</f>
        <v/>
      </c>
      <c r="IX71">
        <f>SUMPRODUCT(IW75:IW89,$K$24:$K$38)+SUM(IW75:IW89)-SUM(IX75:IX89)</f>
        <v/>
      </c>
      <c r="JA71">
        <f>SUMPRODUCT(IZ75:IZ89,$K$24:$K$38)+SUM(IZ75:IZ89)-SUM(JA75:JA89)</f>
        <v/>
      </c>
      <c r="JD71">
        <f>SUMPRODUCT(JC75:JC89,$K$24:$K$38)+SUM(JC75:JC89)-SUM(JD75:JD89)</f>
        <v/>
      </c>
      <c r="JG71">
        <f>SUMPRODUCT(JF75:JF89,$K$24:$K$38)+SUM(JF75:JF89)-SUM(JG75:JG89)</f>
        <v/>
      </c>
      <c r="JJ71">
        <f>SUMPRODUCT(JI75:JI89,$K$24:$K$38)+SUM(JI75:JI89)-SUM(JJ75:JJ89)</f>
        <v/>
      </c>
      <c r="JM71">
        <f>SUMPRODUCT(JL75:JL89,$K$24:$K$38)+SUM(JL75:JL89)-SUM(JM75:JM89)</f>
        <v/>
      </c>
      <c r="JP71">
        <f>SUMPRODUCT(JO75:JO89,$K$24:$K$38)+SUM(JO75:JO89)-SUM(JP75:JP89)</f>
        <v/>
      </c>
      <c r="JS71">
        <f>SUMPRODUCT(JR75:JR89,$K$24:$K$38)+SUM(JR75:JR89)-SUM(JS75:JS89)</f>
        <v/>
      </c>
      <c r="JV71">
        <f>SUMPRODUCT(JU75:JU89,$K$24:$K$38)+SUM(JU75:JU89)-SUM(JV75:JV89)</f>
        <v/>
      </c>
      <c r="JY71">
        <f>SUMPRODUCT(JX75:JX89,$K$24:$K$38)+SUM(JX75:JX89)-SUM(JY75:JY89)</f>
        <v/>
      </c>
      <c r="KB71">
        <f>SUMPRODUCT(KA75:KA89,$K$24:$K$38)+SUM(KA75:KA89)-SUM(KB75:KB89)</f>
        <v/>
      </c>
      <c r="KE71">
        <f>SUMPRODUCT(KD75:KD89,$K$24:$K$38)+SUM(KD75:KD89)-SUM(KE75:KE89)</f>
        <v/>
      </c>
      <c r="KH71">
        <f>SUMPRODUCT(KG75:KG89,$K$24:$K$38)+SUM(KG75:KG89)-SUM(KH75:KH89)</f>
        <v/>
      </c>
      <c r="KK71">
        <f>SUMPRODUCT(KJ75:KJ89,$K$24:$K$38)+SUM(KJ75:KJ89)-SUM(KK75:KK89)</f>
        <v/>
      </c>
      <c r="KN71">
        <f>SUMPRODUCT(KM75:KM89,$K$24:$K$38)+SUM(KM75:KM89)-SUM(KN75:KN89)</f>
        <v/>
      </c>
      <c r="KQ71">
        <f>SUMPRODUCT(KP75:KP89,$K$24:$K$38)+SUM(KP75:KP89)-SUM(KQ75:KQ89)</f>
        <v/>
      </c>
      <c r="KT71">
        <f>SUMPRODUCT(KS75:KS89,$K$24:$K$38)+SUM(KS75:KS89)-SUM(KT75:KT89)</f>
        <v/>
      </c>
      <c r="KW71">
        <f>SUMPRODUCT(KV75:KV89,$K$24:$K$38)+SUM(KV75:KV89)-SUM(KW75:KW89)</f>
        <v/>
      </c>
      <c r="KZ71">
        <f>SUMPRODUCT(KY75:KY89,$K$24:$K$38)+SUM(KY75:KY89)-SUM(KZ75:KZ89)</f>
        <v/>
      </c>
      <c r="LC71">
        <f>SUMPRODUCT(LB75:LB89,$K$24:$K$38)+SUM(LB75:LB89)-SUM(LC75:LC89)</f>
        <v/>
      </c>
      <c r="LF71">
        <f>SUMPRODUCT(LE75:LE89,$K$24:$K$38)+SUM(LE75:LE89)-SUM(LF75:LF89)</f>
        <v/>
      </c>
      <c r="LI71">
        <f>SUMPRODUCT(LH75:LH89,$K$24:$K$38)+SUM(LH75:LH89)-SUM(LI75:LI89)</f>
        <v/>
      </c>
      <c r="LL71">
        <f>SUMPRODUCT(LK75:LK89,$K$24:$K$38)+SUM(LK75:LK89)-SUM(LL75:LL89)</f>
        <v/>
      </c>
      <c r="LO71">
        <f>SUMPRODUCT(LN75:LN89,$K$24:$K$38)+SUM(LN75:LN89)-SUM(LO75:LO89)</f>
        <v/>
      </c>
      <c r="LR71">
        <f>SUMPRODUCT(LQ75:LQ89,$K$24:$K$38)+SUM(LQ75:LQ89)-SUM(LR75:LR89)</f>
        <v/>
      </c>
      <c r="LU71">
        <f>SUMPRODUCT(LT75:LT89,$K$24:$K$38)+SUM(LT75:LT89)-SUM(LU75:LU89)</f>
        <v/>
      </c>
      <c r="LX71">
        <f>SUMPRODUCT(LW75:LW89,$K$24:$K$38)+SUM(LW75:LW89)-SUM(LX75:LX89)</f>
        <v/>
      </c>
      <c r="MA71">
        <f>SUMPRODUCT(LZ75:LZ89,$K$24:$K$38)+SUM(LZ75:LZ89)-SUM(MA75:MA89)</f>
        <v/>
      </c>
      <c r="MD71">
        <f>SUMPRODUCT(MC75:MC89,$K$24:$K$38)+SUM(MC75:MC89)-SUM(MD75:MD89)</f>
        <v/>
      </c>
      <c r="MG71">
        <f>SUMPRODUCT(MF75:MF89,$K$24:$K$38)+SUM(MF75:MF89)-SUM(MG75:MG89)</f>
        <v/>
      </c>
      <c r="MJ71">
        <f>SUMPRODUCT(MI75:MI89,$K$24:$K$38)+SUM(MI75:MI89)-SUM(MJ75:MJ89)</f>
        <v/>
      </c>
      <c r="MM71">
        <f>SUMPRODUCT(ML75:ML89,$K$24:$K$38)+SUM(ML75:ML89)-SUM(MM75:MM89)</f>
        <v/>
      </c>
      <c r="MP71">
        <f>SUMPRODUCT(MO75:MO89,$K$24:$K$38)+SUM(MO75:MO89)-SUM(MP75:MP89)</f>
        <v/>
      </c>
      <c r="MS71">
        <f>SUMPRODUCT(MR75:MR89,$K$24:$K$38)+SUM(MR75:MR89)-SUM(MS75:MS89)</f>
        <v/>
      </c>
      <c r="MV71">
        <f>SUMPRODUCT(MU75:MU89,$K$24:$K$38)+SUM(MU75:MU89)-SUM(MV75:MV89)</f>
        <v/>
      </c>
    </row>
    <row r="72">
      <c r="A72" t="inlineStr">
        <is>
          <t>interest</t>
        </is>
      </c>
      <c r="C72">
        <f>SUMPRODUCT(B75:B89,$K$24:$K$38)</f>
        <v/>
      </c>
      <c r="F72">
        <f>SUMPRODUCT(E75:E89,$K$24:$K$38)</f>
        <v/>
      </c>
      <c r="I72">
        <f>SUMPRODUCT(H75:H89,$K$24:$K$38)</f>
        <v/>
      </c>
      <c r="L72">
        <f>SUMPRODUCT(K75:K89,$K$24:$K$38)</f>
        <v/>
      </c>
      <c r="O72">
        <f>SUMPRODUCT(N75:N89,$K$24:$K$38)</f>
        <v/>
      </c>
      <c r="R72">
        <f>SUMPRODUCT(Q75:Q89,$K$24:$K$38)</f>
        <v/>
      </c>
      <c r="U72">
        <f>SUMPRODUCT(T75:T89,$K$24:$K$38)</f>
        <v/>
      </c>
      <c r="X72">
        <f>SUMPRODUCT(W75:W89,$K$24:$K$38)</f>
        <v/>
      </c>
      <c r="AA72">
        <f>SUMPRODUCT(Z75:Z89,$K$24:$K$38)</f>
        <v/>
      </c>
      <c r="AD72">
        <f>SUMPRODUCT(AC75:AC89,$K$24:$K$38)</f>
        <v/>
      </c>
      <c r="AG72">
        <f>SUMPRODUCT(AF75:AF89,$K$24:$K$38)</f>
        <v/>
      </c>
      <c r="AJ72">
        <f>SUMPRODUCT(AI75:AI89,$K$24:$K$38)</f>
        <v/>
      </c>
      <c r="AM72">
        <f>SUMPRODUCT(AL75:AL89,$K$24:$K$38)</f>
        <v/>
      </c>
      <c r="AP72">
        <f>SUMPRODUCT(AO75:AO89,$K$24:$K$38)</f>
        <v/>
      </c>
      <c r="AS72">
        <f>SUMPRODUCT(AR75:AR89,$K$24:$K$38)</f>
        <v/>
      </c>
      <c r="AV72">
        <f>SUMPRODUCT(AU75:AU89,$K$24:$K$38)</f>
        <v/>
      </c>
      <c r="AY72">
        <f>SUMPRODUCT(AX75:AX89,$K$24:$K$38)</f>
        <v/>
      </c>
      <c r="BB72">
        <f>SUMPRODUCT(BA75:BA89,$K$24:$K$38)</f>
        <v/>
      </c>
      <c r="BE72">
        <f>SUMPRODUCT(BD75:BD89,$K$24:$K$38)</f>
        <v/>
      </c>
      <c r="BH72">
        <f>SUMPRODUCT(BG75:BG89,$K$24:$K$38)</f>
        <v/>
      </c>
      <c r="BK72">
        <f>SUMPRODUCT(BJ75:BJ89,$K$24:$K$38)</f>
        <v/>
      </c>
      <c r="BN72">
        <f>SUMPRODUCT(BM75:BM89,$K$24:$K$38)</f>
        <v/>
      </c>
      <c r="BQ72">
        <f>SUMPRODUCT(BP75:BP89,$K$24:$K$38)</f>
        <v/>
      </c>
      <c r="BT72">
        <f>SUMPRODUCT(BS75:BS89,$K$24:$K$38)</f>
        <v/>
      </c>
      <c r="BW72">
        <f>SUMPRODUCT(BV75:BV89,$K$24:$K$38)</f>
        <v/>
      </c>
      <c r="BZ72">
        <f>SUMPRODUCT(BY75:BY89,$K$24:$K$38)</f>
        <v/>
      </c>
      <c r="CC72">
        <f>SUMPRODUCT(CB75:CB89,$K$24:$K$38)</f>
        <v/>
      </c>
      <c r="CF72">
        <f>SUMPRODUCT(CE75:CE89,$K$24:$K$38)</f>
        <v/>
      </c>
      <c r="CI72">
        <f>SUMPRODUCT(CH75:CH89,$K$24:$K$38)</f>
        <v/>
      </c>
      <c r="CL72">
        <f>SUMPRODUCT(CK75:CK89,$K$24:$K$38)</f>
        <v/>
      </c>
      <c r="CO72">
        <f>SUMPRODUCT(CN75:CN89,$K$24:$K$38)</f>
        <v/>
      </c>
      <c r="CR72">
        <f>SUMPRODUCT(CQ75:CQ89,$K$24:$K$38)</f>
        <v/>
      </c>
      <c r="CU72">
        <f>SUMPRODUCT(CT75:CT89,$K$24:$K$38)</f>
        <v/>
      </c>
      <c r="CX72">
        <f>SUMPRODUCT(CW75:CW89,$K$24:$K$38)</f>
        <v/>
      </c>
      <c r="DA72">
        <f>SUMPRODUCT(CZ75:CZ89,$K$24:$K$38)</f>
        <v/>
      </c>
      <c r="DD72">
        <f>SUMPRODUCT(DC75:DC89,$K$24:$K$38)</f>
        <v/>
      </c>
      <c r="DG72">
        <f>SUMPRODUCT(DF75:DF89,$K$24:$K$38)</f>
        <v/>
      </c>
      <c r="DJ72">
        <f>SUMPRODUCT(DI75:DI89,$K$24:$K$38)</f>
        <v/>
      </c>
      <c r="DM72">
        <f>SUMPRODUCT(DL75:DL89,$K$24:$K$38)</f>
        <v/>
      </c>
      <c r="DP72">
        <f>SUMPRODUCT(DO75:DO89,$K$24:$K$38)</f>
        <v/>
      </c>
      <c r="DS72">
        <f>SUMPRODUCT(DR75:DR89,$K$24:$K$38)</f>
        <v/>
      </c>
      <c r="DV72">
        <f>SUMPRODUCT(DU75:DU89,$K$24:$K$38)</f>
        <v/>
      </c>
      <c r="DY72">
        <f>SUMPRODUCT(DX75:DX89,$K$24:$K$38)</f>
        <v/>
      </c>
      <c r="EB72">
        <f>SUMPRODUCT(EA75:EA89,$K$24:$K$38)</f>
        <v/>
      </c>
      <c r="EE72">
        <f>SUMPRODUCT(ED75:ED89,$K$24:$K$38)</f>
        <v/>
      </c>
      <c r="EH72">
        <f>SUMPRODUCT(EG75:EG89,$K$24:$K$38)</f>
        <v/>
      </c>
      <c r="EK72">
        <f>SUMPRODUCT(EJ75:EJ89,$K$24:$K$38)</f>
        <v/>
      </c>
      <c r="EN72">
        <f>SUMPRODUCT(EM75:EM89,$K$24:$K$38)</f>
        <v/>
      </c>
      <c r="EQ72">
        <f>SUMPRODUCT(EP75:EP89,$K$24:$K$38)</f>
        <v/>
      </c>
      <c r="ET72">
        <f>SUMPRODUCT(ES75:ES89,$K$24:$K$38)</f>
        <v/>
      </c>
      <c r="EW72">
        <f>SUMPRODUCT(EV75:EV89,$K$24:$K$38)</f>
        <v/>
      </c>
      <c r="EZ72">
        <f>SUMPRODUCT(EY75:EY89,$K$24:$K$38)</f>
        <v/>
      </c>
      <c r="FC72">
        <f>SUMPRODUCT(FB75:FB89,$K$24:$K$38)</f>
        <v/>
      </c>
      <c r="FF72">
        <f>SUMPRODUCT(FE75:FE89,$K$24:$K$38)</f>
        <v/>
      </c>
      <c r="FI72">
        <f>SUMPRODUCT(FH75:FH89,$K$24:$K$38)</f>
        <v/>
      </c>
      <c r="FL72">
        <f>SUMPRODUCT(FK75:FK89,$K$24:$K$38)</f>
        <v/>
      </c>
      <c r="FO72">
        <f>SUMPRODUCT(FN75:FN89,$K$24:$K$38)</f>
        <v/>
      </c>
      <c r="FR72">
        <f>SUMPRODUCT(FQ75:FQ89,$K$24:$K$38)</f>
        <v/>
      </c>
      <c r="FU72">
        <f>SUMPRODUCT(FT75:FT89,$K$24:$K$38)</f>
        <v/>
      </c>
      <c r="FX72">
        <f>SUMPRODUCT(FW75:FW89,$K$24:$K$38)</f>
        <v/>
      </c>
      <c r="GA72">
        <f>SUMPRODUCT(FZ75:FZ89,$K$24:$K$38)</f>
        <v/>
      </c>
      <c r="GD72">
        <f>SUMPRODUCT(GC75:GC89,$K$24:$K$38)</f>
        <v/>
      </c>
      <c r="GG72">
        <f>SUMPRODUCT(GF75:GF89,$K$24:$K$38)</f>
        <v/>
      </c>
      <c r="GJ72">
        <f>SUMPRODUCT(GI75:GI89,$K$24:$K$38)</f>
        <v/>
      </c>
      <c r="GM72">
        <f>SUMPRODUCT(GL75:GL89,$K$24:$K$38)</f>
        <v/>
      </c>
      <c r="GP72">
        <f>SUMPRODUCT(GO75:GO89,$K$24:$K$38)</f>
        <v/>
      </c>
      <c r="GS72">
        <f>SUMPRODUCT(GR75:GR89,$K$24:$K$38)</f>
        <v/>
      </c>
      <c r="GV72">
        <f>SUMPRODUCT(GU75:GU89,$K$24:$K$38)</f>
        <v/>
      </c>
      <c r="GY72">
        <f>SUMPRODUCT(GX75:GX89,$K$24:$K$38)</f>
        <v/>
      </c>
      <c r="HB72">
        <f>SUMPRODUCT(HA75:HA89,$K$24:$K$38)</f>
        <v/>
      </c>
      <c r="HE72">
        <f>SUMPRODUCT(HD75:HD89,$K$24:$K$38)</f>
        <v/>
      </c>
      <c r="HH72">
        <f>SUMPRODUCT(HG75:HG89,$K$24:$K$38)</f>
        <v/>
      </c>
      <c r="HK72">
        <f>SUMPRODUCT(HJ75:HJ89,$K$24:$K$38)</f>
        <v/>
      </c>
      <c r="HN72">
        <f>SUMPRODUCT(HM75:HM89,$K$24:$K$38)</f>
        <v/>
      </c>
      <c r="HQ72">
        <f>SUMPRODUCT(HP75:HP89,$K$24:$K$38)</f>
        <v/>
      </c>
      <c r="HT72">
        <f>SUMPRODUCT(HS75:HS89,$K$24:$K$38)</f>
        <v/>
      </c>
      <c r="HW72">
        <f>SUMPRODUCT(HV75:HV89,$K$24:$K$38)</f>
        <v/>
      </c>
      <c r="HZ72">
        <f>SUMPRODUCT(HY75:HY89,$K$24:$K$38)</f>
        <v/>
      </c>
      <c r="IC72">
        <f>SUMPRODUCT(IB75:IB89,$K$24:$K$38)</f>
        <v/>
      </c>
      <c r="IF72">
        <f>SUMPRODUCT(IE75:IE89,$K$24:$K$38)</f>
        <v/>
      </c>
      <c r="II72">
        <f>SUMPRODUCT(IH75:IH89,$K$24:$K$38)</f>
        <v/>
      </c>
      <c r="IL72">
        <f>SUMPRODUCT(IK75:IK89,$K$24:$K$38)</f>
        <v/>
      </c>
      <c r="IO72">
        <f>SUMPRODUCT(IN75:IN89,$K$24:$K$38)</f>
        <v/>
      </c>
      <c r="IR72">
        <f>SUMPRODUCT(IQ75:IQ89,$K$24:$K$38)</f>
        <v/>
      </c>
      <c r="IU72">
        <f>SUMPRODUCT(IT75:IT89,$K$24:$K$38)</f>
        <v/>
      </c>
      <c r="IX72">
        <f>SUMPRODUCT(IW75:IW89,$K$24:$K$38)</f>
        <v/>
      </c>
      <c r="JA72">
        <f>SUMPRODUCT(IZ75:IZ89,$K$24:$K$38)</f>
        <v/>
      </c>
      <c r="JD72">
        <f>SUMPRODUCT(JC75:JC89,$K$24:$K$38)</f>
        <v/>
      </c>
      <c r="JG72">
        <f>SUMPRODUCT(JF75:JF89,$K$24:$K$38)</f>
        <v/>
      </c>
      <c r="JJ72">
        <f>SUMPRODUCT(JI75:JI89,$K$24:$K$38)</f>
        <v/>
      </c>
      <c r="JM72">
        <f>SUMPRODUCT(JL75:JL89,$K$24:$K$38)</f>
        <v/>
      </c>
      <c r="JP72">
        <f>SUMPRODUCT(JO75:JO89,$K$24:$K$38)</f>
        <v/>
      </c>
      <c r="JS72">
        <f>SUMPRODUCT(JR75:JR89,$K$24:$K$38)</f>
        <v/>
      </c>
      <c r="JV72">
        <f>SUMPRODUCT(JU75:JU89,$K$24:$K$38)</f>
        <v/>
      </c>
      <c r="JY72">
        <f>SUMPRODUCT(JX75:JX89,$K$24:$K$38)</f>
        <v/>
      </c>
      <c r="KB72">
        <f>SUMPRODUCT(KA75:KA89,$K$24:$K$38)</f>
        <v/>
      </c>
      <c r="KE72">
        <f>SUMPRODUCT(KD75:KD89,$K$24:$K$38)</f>
        <v/>
      </c>
      <c r="KH72">
        <f>SUMPRODUCT(KG75:KG89,$K$24:$K$38)</f>
        <v/>
      </c>
      <c r="KK72">
        <f>SUMPRODUCT(KJ75:KJ89,$K$24:$K$38)</f>
        <v/>
      </c>
      <c r="KN72">
        <f>SUMPRODUCT(KM75:KM89,$K$24:$K$38)</f>
        <v/>
      </c>
      <c r="KQ72">
        <f>SUMPRODUCT(KP75:KP89,$K$24:$K$38)</f>
        <v/>
      </c>
      <c r="KT72">
        <f>SUMPRODUCT(KS75:KS89,$K$24:$K$38)</f>
        <v/>
      </c>
      <c r="KW72">
        <f>SUMPRODUCT(KV75:KV89,$K$24:$K$38)</f>
        <v/>
      </c>
      <c r="KZ72">
        <f>SUMPRODUCT(KY75:KY89,$K$24:$K$38)</f>
        <v/>
      </c>
      <c r="LC72">
        <f>SUMPRODUCT(LB75:LB89,$K$24:$K$38)</f>
        <v/>
      </c>
      <c r="LF72">
        <f>SUMPRODUCT(LE75:LE89,$K$24:$K$38)</f>
        <v/>
      </c>
      <c r="LI72">
        <f>SUMPRODUCT(LH75:LH89,$K$24:$K$38)</f>
        <v/>
      </c>
      <c r="LL72">
        <f>SUMPRODUCT(LK75:LK89,$K$24:$K$38)</f>
        <v/>
      </c>
      <c r="LO72">
        <f>SUMPRODUCT(LN75:LN89,$K$24:$K$38)</f>
        <v/>
      </c>
      <c r="LR72">
        <f>SUMPRODUCT(LQ75:LQ89,$K$24:$K$38)</f>
        <v/>
      </c>
      <c r="LU72">
        <f>SUMPRODUCT(LT75:LT89,$K$24:$K$38)</f>
        <v/>
      </c>
      <c r="LX72">
        <f>SUMPRODUCT(LW75:LW89,$K$24:$K$38)</f>
        <v/>
      </c>
      <c r="MA72">
        <f>SUMPRODUCT(LZ75:LZ89,$K$24:$K$38)</f>
        <v/>
      </c>
      <c r="MD72">
        <f>SUMPRODUCT(MC75:MC89,$K$24:$K$38)</f>
        <v/>
      </c>
      <c r="MG72">
        <f>SUMPRODUCT(MF75:MF89,$K$24:$K$38)</f>
        <v/>
      </c>
      <c r="MJ72">
        <f>SUMPRODUCT(MI75:MI89,$K$24:$K$38)</f>
        <v/>
      </c>
      <c r="MM72">
        <f>SUMPRODUCT(ML75:ML89,$K$24:$K$38)</f>
        <v/>
      </c>
      <c r="MP72">
        <f>SUMPRODUCT(MO75:MO89,$K$24:$K$38)</f>
        <v/>
      </c>
      <c r="MS72">
        <f>SUMPRODUCT(MR75:MR89,$K$24:$K$38)</f>
        <v/>
      </c>
      <c r="MV72">
        <f>SUMPRODUCT(MU75:MU89,$K$24:$K$38)</f>
        <v/>
      </c>
    </row>
    <row r="73">
      <c r="A73" t="inlineStr">
        <is>
          <t>total closing</t>
        </is>
      </c>
      <c r="E73">
        <f>SUM(E75:E89)</f>
        <v/>
      </c>
      <c r="H73">
        <f>SUM(H75:H89)</f>
        <v/>
      </c>
      <c r="K73">
        <f>SUM(K75:K89)</f>
        <v/>
      </c>
      <c r="N73">
        <f>SUM(N75:N89)</f>
        <v/>
      </c>
      <c r="Q73">
        <f>SUM(Q75:Q89)</f>
        <v/>
      </c>
      <c r="T73">
        <f>SUM(T75:T89)</f>
        <v/>
      </c>
      <c r="W73">
        <f>SUM(W75:W89)</f>
        <v/>
      </c>
      <c r="Z73">
        <f>SUM(Z75:Z89)</f>
        <v/>
      </c>
      <c r="AC73">
        <f>SUM(AC75:AC89)</f>
        <v/>
      </c>
      <c r="AF73">
        <f>SUM(AF75:AF89)</f>
        <v/>
      </c>
      <c r="AI73">
        <f>SUM(AI75:AI89)</f>
        <v/>
      </c>
      <c r="AL73">
        <f>SUM(AL75:AL89)</f>
        <v/>
      </c>
      <c r="AO73">
        <f>SUM(AO75:AO89)</f>
        <v/>
      </c>
      <c r="AR73">
        <f>SUM(AR75:AR89)</f>
        <v/>
      </c>
      <c r="AU73">
        <f>SUM(AU75:AU89)</f>
        <v/>
      </c>
      <c r="AX73">
        <f>SUM(AX75:AX89)</f>
        <v/>
      </c>
      <c r="BA73">
        <f>SUM(BA75:BA89)</f>
        <v/>
      </c>
      <c r="BD73">
        <f>SUM(BD75:BD89)</f>
        <v/>
      </c>
      <c r="BG73">
        <f>SUM(BG75:BG89)</f>
        <v/>
      </c>
      <c r="BJ73">
        <f>SUM(BJ75:BJ89)</f>
        <v/>
      </c>
      <c r="BM73">
        <f>SUM(BM75:BM89)</f>
        <v/>
      </c>
      <c r="BP73">
        <f>SUM(BP75:BP89)</f>
        <v/>
      </c>
      <c r="BS73">
        <f>SUM(BS75:BS89)</f>
        <v/>
      </c>
      <c r="BV73">
        <f>SUM(BV75:BV89)</f>
        <v/>
      </c>
      <c r="BY73">
        <f>SUM(BY75:BY89)</f>
        <v/>
      </c>
      <c r="CB73">
        <f>SUM(CB75:CB89)</f>
        <v/>
      </c>
      <c r="CE73">
        <f>SUM(CE75:CE89)</f>
        <v/>
      </c>
      <c r="CH73">
        <f>SUM(CH75:CH89)</f>
        <v/>
      </c>
      <c r="CK73">
        <f>SUM(CK75:CK89)</f>
        <v/>
      </c>
      <c r="CN73">
        <f>SUM(CN75:CN89)</f>
        <v/>
      </c>
      <c r="CQ73">
        <f>SUM(CQ75:CQ89)</f>
        <v/>
      </c>
      <c r="CT73">
        <f>SUM(CT75:CT89)</f>
        <v/>
      </c>
      <c r="CW73">
        <f>SUM(CW75:CW89)</f>
        <v/>
      </c>
      <c r="CZ73">
        <f>SUM(CZ75:CZ89)</f>
        <v/>
      </c>
      <c r="DC73">
        <f>SUM(DC75:DC89)</f>
        <v/>
      </c>
      <c r="DF73">
        <f>SUM(DF75:DF89)</f>
        <v/>
      </c>
      <c r="DI73">
        <f>SUM(DI75:DI89)</f>
        <v/>
      </c>
      <c r="DL73">
        <f>SUM(DL75:DL89)</f>
        <v/>
      </c>
      <c r="DO73">
        <f>SUM(DO75:DO89)</f>
        <v/>
      </c>
      <c r="DR73">
        <f>SUM(DR75:DR89)</f>
        <v/>
      </c>
      <c r="DU73">
        <f>SUM(DU75:DU89)</f>
        <v/>
      </c>
      <c r="DX73">
        <f>SUM(DX75:DX89)</f>
        <v/>
      </c>
      <c r="EA73">
        <f>SUM(EA75:EA89)</f>
        <v/>
      </c>
      <c r="ED73">
        <f>SUM(ED75:ED89)</f>
        <v/>
      </c>
      <c r="EG73">
        <f>SUM(EG75:EG89)</f>
        <v/>
      </c>
      <c r="EJ73">
        <f>SUM(EJ75:EJ89)</f>
        <v/>
      </c>
      <c r="EM73">
        <f>SUM(EM75:EM89)</f>
        <v/>
      </c>
      <c r="EP73">
        <f>SUM(EP75:EP89)</f>
        <v/>
      </c>
      <c r="ES73">
        <f>SUM(ES75:ES89)</f>
        <v/>
      </c>
      <c r="EV73">
        <f>SUM(EV75:EV89)</f>
        <v/>
      </c>
      <c r="EY73">
        <f>SUM(EY75:EY89)</f>
        <v/>
      </c>
      <c r="FB73">
        <f>SUM(FB75:FB89)</f>
        <v/>
      </c>
      <c r="FE73">
        <f>SUM(FE75:FE89)</f>
        <v/>
      </c>
      <c r="FH73">
        <f>SUM(FH75:FH89)</f>
        <v/>
      </c>
      <c r="FK73">
        <f>SUM(FK75:FK89)</f>
        <v/>
      </c>
      <c r="FN73">
        <f>SUM(FN75:FN89)</f>
        <v/>
      </c>
      <c r="FQ73">
        <f>SUM(FQ75:FQ89)</f>
        <v/>
      </c>
      <c r="FT73">
        <f>SUM(FT75:FT89)</f>
        <v/>
      </c>
      <c r="FW73">
        <f>SUM(FW75:FW89)</f>
        <v/>
      </c>
      <c r="FZ73">
        <f>SUM(FZ75:FZ89)</f>
        <v/>
      </c>
      <c r="GC73">
        <f>SUM(GC75:GC89)</f>
        <v/>
      </c>
      <c r="GF73">
        <f>SUM(GF75:GF89)</f>
        <v/>
      </c>
      <c r="GI73">
        <f>SUM(GI75:GI89)</f>
        <v/>
      </c>
      <c r="GL73">
        <f>SUM(GL75:GL89)</f>
        <v/>
      </c>
      <c r="GO73">
        <f>SUM(GO75:GO89)</f>
        <v/>
      </c>
      <c r="GR73">
        <f>SUM(GR75:GR89)</f>
        <v/>
      </c>
      <c r="GU73">
        <f>SUM(GU75:GU89)</f>
        <v/>
      </c>
      <c r="GX73">
        <f>SUM(GX75:GX89)</f>
        <v/>
      </c>
      <c r="HA73">
        <f>SUM(HA75:HA89)</f>
        <v/>
      </c>
      <c r="HD73">
        <f>SUM(HD75:HD89)</f>
        <v/>
      </c>
      <c r="HG73">
        <f>SUM(HG75:HG89)</f>
        <v/>
      </c>
      <c r="HJ73">
        <f>SUM(HJ75:HJ89)</f>
        <v/>
      </c>
      <c r="HM73">
        <f>SUM(HM75:HM89)</f>
        <v/>
      </c>
      <c r="HP73">
        <f>SUM(HP75:HP89)</f>
        <v/>
      </c>
      <c r="HS73">
        <f>SUM(HS75:HS89)</f>
        <v/>
      </c>
      <c r="HV73">
        <f>SUM(HV75:HV89)</f>
        <v/>
      </c>
      <c r="HY73">
        <f>SUM(HY75:HY89)</f>
        <v/>
      </c>
      <c r="IB73">
        <f>SUM(IB75:IB89)</f>
        <v/>
      </c>
      <c r="IE73">
        <f>SUM(IE75:IE89)</f>
        <v/>
      </c>
      <c r="IH73">
        <f>SUM(IH75:IH89)</f>
        <v/>
      </c>
      <c r="IK73">
        <f>SUM(IK75:IK89)</f>
        <v/>
      </c>
      <c r="IN73">
        <f>SUM(IN75:IN89)</f>
        <v/>
      </c>
      <c r="IQ73">
        <f>SUM(IQ75:IQ89)</f>
        <v/>
      </c>
      <c r="IT73">
        <f>SUM(IT75:IT89)</f>
        <v/>
      </c>
      <c r="IW73">
        <f>SUM(IW75:IW89)</f>
        <v/>
      </c>
      <c r="IZ73">
        <f>SUM(IZ75:IZ89)</f>
        <v/>
      </c>
      <c r="JC73">
        <f>SUM(JC75:JC89)</f>
        <v/>
      </c>
      <c r="JF73">
        <f>SUM(JF75:JF89)</f>
        <v/>
      </c>
      <c r="JI73">
        <f>SUM(JI75:JI89)</f>
        <v/>
      </c>
      <c r="JL73">
        <f>SUM(JL75:JL89)</f>
        <v/>
      </c>
      <c r="JO73">
        <f>SUM(JO75:JO89)</f>
        <v/>
      </c>
      <c r="JR73">
        <f>SUM(JR75:JR89)</f>
        <v/>
      </c>
      <c r="JU73">
        <f>SUM(JU75:JU89)</f>
        <v/>
      </c>
      <c r="JX73">
        <f>SUM(JX75:JX89)</f>
        <v/>
      </c>
      <c r="KA73">
        <f>SUM(KA75:KA89)</f>
        <v/>
      </c>
      <c r="KD73">
        <f>SUM(KD75:KD89)</f>
        <v/>
      </c>
      <c r="KG73">
        <f>SUM(KG75:KG89)</f>
        <v/>
      </c>
      <c r="KJ73">
        <f>SUM(KJ75:KJ89)</f>
        <v/>
      </c>
      <c r="KM73">
        <f>SUM(KM75:KM89)</f>
        <v/>
      </c>
      <c r="KP73">
        <f>SUM(KP75:KP89)</f>
        <v/>
      </c>
      <c r="KS73">
        <f>SUM(KS75:KS89)</f>
        <v/>
      </c>
      <c r="KV73">
        <f>SUM(KV75:KV89)</f>
        <v/>
      </c>
      <c r="KY73">
        <f>SUM(KY75:KY89)</f>
        <v/>
      </c>
      <c r="LB73">
        <f>SUM(LB75:LB89)</f>
        <v/>
      </c>
      <c r="LE73">
        <f>SUM(LE75:LE89)</f>
        <v/>
      </c>
      <c r="LH73">
        <f>SUM(LH75:LH89)</f>
        <v/>
      </c>
      <c r="LK73">
        <f>SUM(LK75:LK89)</f>
        <v/>
      </c>
      <c r="LN73">
        <f>SUM(LN75:LN89)</f>
        <v/>
      </c>
      <c r="LQ73">
        <f>SUM(LQ75:LQ89)</f>
        <v/>
      </c>
      <c r="LT73">
        <f>SUM(LT75:LT89)</f>
        <v/>
      </c>
      <c r="LW73">
        <f>SUM(LW75:LW89)</f>
        <v/>
      </c>
      <c r="LZ73">
        <f>SUM(LZ75:LZ89)</f>
        <v/>
      </c>
      <c r="MC73">
        <f>SUM(MC75:MC89)</f>
        <v/>
      </c>
      <c r="MF73">
        <f>SUM(MF75:MF89)</f>
        <v/>
      </c>
      <c r="MI73">
        <f>SUM(MI75:MI89)</f>
        <v/>
      </c>
      <c r="ML73">
        <f>SUM(ML75:ML89)</f>
        <v/>
      </c>
      <c r="MO73">
        <f>SUM(MO75:MO89)</f>
        <v/>
      </c>
      <c r="MR73">
        <f>SUM(MR75:MR89)</f>
        <v/>
      </c>
      <c r="MU73">
        <f>SUM(MU75:MU89)</f>
        <v/>
      </c>
      <c r="MX73">
        <f>SUM(MX75:MX89)</f>
        <v/>
      </c>
    </row>
    <row r="74">
      <c r="A74" t="inlineStr">
        <is>
          <t>extra (remaining chain)</t>
        </is>
      </c>
      <c r="D74">
        <f>MAX(0,Start!$D$9-C71)</f>
        <v/>
      </c>
      <c r="G74">
        <f>MAX(0,Start!$D$9-F71)</f>
        <v/>
      </c>
      <c r="J74">
        <f>MAX(0,Start!$D$9-I71)</f>
        <v/>
      </c>
      <c r="M74">
        <f>MAX(0,Start!$D$9-L71)</f>
        <v/>
      </c>
      <c r="P74">
        <f>MAX(0,Start!$D$9-O71)</f>
        <v/>
      </c>
      <c r="S74">
        <f>MAX(0,Start!$D$9-R71)</f>
        <v/>
      </c>
      <c r="V74">
        <f>MAX(0,Start!$D$9-U71)</f>
        <v/>
      </c>
      <c r="Y74">
        <f>MAX(0,Start!$D$9-X71)</f>
        <v/>
      </c>
      <c r="AB74">
        <f>MAX(0,Start!$D$9-AA71)</f>
        <v/>
      </c>
      <c r="AE74">
        <f>MAX(0,Start!$D$9-AD71)</f>
        <v/>
      </c>
      <c r="AH74">
        <f>MAX(0,Start!$D$9-AG71)</f>
        <v/>
      </c>
      <c r="AK74">
        <f>MAX(0,Start!$D$9-AJ71)</f>
        <v/>
      </c>
      <c r="AN74">
        <f>MAX(0,Start!$D$9-AM71)</f>
        <v/>
      </c>
      <c r="AQ74">
        <f>MAX(0,Start!$D$9-AP71)</f>
        <v/>
      </c>
      <c r="AT74">
        <f>MAX(0,Start!$D$9-AS71)</f>
        <v/>
      </c>
      <c r="AW74">
        <f>MAX(0,Start!$D$9-AV71)</f>
        <v/>
      </c>
      <c r="AZ74">
        <f>MAX(0,Start!$D$9-AY71)</f>
        <v/>
      </c>
      <c r="BC74">
        <f>MAX(0,Start!$D$9-BB71)</f>
        <v/>
      </c>
      <c r="BF74">
        <f>MAX(0,Start!$D$9-BE71)</f>
        <v/>
      </c>
      <c r="BI74">
        <f>MAX(0,Start!$D$9-BH71)</f>
        <v/>
      </c>
      <c r="BL74">
        <f>MAX(0,Start!$D$9-BK71)</f>
        <v/>
      </c>
      <c r="BO74">
        <f>MAX(0,Start!$D$9-BN71)</f>
        <v/>
      </c>
      <c r="BR74">
        <f>MAX(0,Start!$D$9-BQ71)</f>
        <v/>
      </c>
      <c r="BU74">
        <f>MAX(0,Start!$D$9-BT71)</f>
        <v/>
      </c>
      <c r="BX74">
        <f>MAX(0,Start!$D$9-BW71)</f>
        <v/>
      </c>
      <c r="CA74">
        <f>MAX(0,Start!$D$9-BZ71)</f>
        <v/>
      </c>
      <c r="CD74">
        <f>MAX(0,Start!$D$9-CC71)</f>
        <v/>
      </c>
      <c r="CG74">
        <f>MAX(0,Start!$D$9-CF71)</f>
        <v/>
      </c>
      <c r="CJ74">
        <f>MAX(0,Start!$D$9-CI71)</f>
        <v/>
      </c>
      <c r="CM74">
        <f>MAX(0,Start!$D$9-CL71)</f>
        <v/>
      </c>
      <c r="CP74">
        <f>MAX(0,Start!$D$9-CO71)</f>
        <v/>
      </c>
      <c r="CS74">
        <f>MAX(0,Start!$D$9-CR71)</f>
        <v/>
      </c>
      <c r="CV74">
        <f>MAX(0,Start!$D$9-CU71)</f>
        <v/>
      </c>
      <c r="CY74">
        <f>MAX(0,Start!$D$9-CX71)</f>
        <v/>
      </c>
      <c r="DB74">
        <f>MAX(0,Start!$D$9-DA71)</f>
        <v/>
      </c>
      <c r="DE74">
        <f>MAX(0,Start!$D$9-DD71)</f>
        <v/>
      </c>
      <c r="DH74">
        <f>MAX(0,Start!$D$9-DG71)</f>
        <v/>
      </c>
      <c r="DK74">
        <f>MAX(0,Start!$D$9-DJ71)</f>
        <v/>
      </c>
      <c r="DN74">
        <f>MAX(0,Start!$D$9-DM71)</f>
        <v/>
      </c>
      <c r="DQ74">
        <f>MAX(0,Start!$D$9-DP71)</f>
        <v/>
      </c>
      <c r="DT74">
        <f>MAX(0,Start!$D$9-DS71)</f>
        <v/>
      </c>
      <c r="DW74">
        <f>MAX(0,Start!$D$9-DV71)</f>
        <v/>
      </c>
      <c r="DZ74">
        <f>MAX(0,Start!$D$9-DY71)</f>
        <v/>
      </c>
      <c r="EC74">
        <f>MAX(0,Start!$D$9-EB71)</f>
        <v/>
      </c>
      <c r="EF74">
        <f>MAX(0,Start!$D$9-EE71)</f>
        <v/>
      </c>
      <c r="EI74">
        <f>MAX(0,Start!$D$9-EH71)</f>
        <v/>
      </c>
      <c r="EL74">
        <f>MAX(0,Start!$D$9-EK71)</f>
        <v/>
      </c>
      <c r="EO74">
        <f>MAX(0,Start!$D$9-EN71)</f>
        <v/>
      </c>
      <c r="ER74">
        <f>MAX(0,Start!$D$9-EQ71)</f>
        <v/>
      </c>
      <c r="EU74">
        <f>MAX(0,Start!$D$9-ET71)</f>
        <v/>
      </c>
      <c r="EX74">
        <f>MAX(0,Start!$D$9-EW71)</f>
        <v/>
      </c>
      <c r="FA74">
        <f>MAX(0,Start!$D$9-EZ71)</f>
        <v/>
      </c>
      <c r="FD74">
        <f>MAX(0,Start!$D$9-FC71)</f>
        <v/>
      </c>
      <c r="FG74">
        <f>MAX(0,Start!$D$9-FF71)</f>
        <v/>
      </c>
      <c r="FJ74">
        <f>MAX(0,Start!$D$9-FI71)</f>
        <v/>
      </c>
      <c r="FM74">
        <f>MAX(0,Start!$D$9-FL71)</f>
        <v/>
      </c>
      <c r="FP74">
        <f>MAX(0,Start!$D$9-FO71)</f>
        <v/>
      </c>
      <c r="FS74">
        <f>MAX(0,Start!$D$9-FR71)</f>
        <v/>
      </c>
      <c r="FV74">
        <f>MAX(0,Start!$D$9-FU71)</f>
        <v/>
      </c>
      <c r="FY74">
        <f>MAX(0,Start!$D$9-FX71)</f>
        <v/>
      </c>
      <c r="GB74">
        <f>MAX(0,Start!$D$9-GA71)</f>
        <v/>
      </c>
      <c r="GE74">
        <f>MAX(0,Start!$D$9-GD71)</f>
        <v/>
      </c>
      <c r="GH74">
        <f>MAX(0,Start!$D$9-GG71)</f>
        <v/>
      </c>
      <c r="GK74">
        <f>MAX(0,Start!$D$9-GJ71)</f>
        <v/>
      </c>
      <c r="GN74">
        <f>MAX(0,Start!$D$9-GM71)</f>
        <v/>
      </c>
      <c r="GQ74">
        <f>MAX(0,Start!$D$9-GP71)</f>
        <v/>
      </c>
      <c r="GT74">
        <f>MAX(0,Start!$D$9-GS71)</f>
        <v/>
      </c>
      <c r="GW74">
        <f>MAX(0,Start!$D$9-GV71)</f>
        <v/>
      </c>
      <c r="GZ74">
        <f>MAX(0,Start!$D$9-GY71)</f>
        <v/>
      </c>
      <c r="HC74">
        <f>MAX(0,Start!$D$9-HB71)</f>
        <v/>
      </c>
      <c r="HF74">
        <f>MAX(0,Start!$D$9-HE71)</f>
        <v/>
      </c>
      <c r="HI74">
        <f>MAX(0,Start!$D$9-HH71)</f>
        <v/>
      </c>
      <c r="HL74">
        <f>MAX(0,Start!$D$9-HK71)</f>
        <v/>
      </c>
      <c r="HO74">
        <f>MAX(0,Start!$D$9-HN71)</f>
        <v/>
      </c>
      <c r="HR74">
        <f>MAX(0,Start!$D$9-HQ71)</f>
        <v/>
      </c>
      <c r="HU74">
        <f>MAX(0,Start!$D$9-HT71)</f>
        <v/>
      </c>
      <c r="HX74">
        <f>MAX(0,Start!$D$9-HW71)</f>
        <v/>
      </c>
      <c r="IA74">
        <f>MAX(0,Start!$D$9-HZ71)</f>
        <v/>
      </c>
      <c r="ID74">
        <f>MAX(0,Start!$D$9-IC71)</f>
        <v/>
      </c>
      <c r="IG74">
        <f>MAX(0,Start!$D$9-IF71)</f>
        <v/>
      </c>
      <c r="IJ74">
        <f>MAX(0,Start!$D$9-II71)</f>
        <v/>
      </c>
      <c r="IM74">
        <f>MAX(0,Start!$D$9-IL71)</f>
        <v/>
      </c>
      <c r="IP74">
        <f>MAX(0,Start!$D$9-IO71)</f>
        <v/>
      </c>
      <c r="IS74">
        <f>MAX(0,Start!$D$9-IR71)</f>
        <v/>
      </c>
      <c r="IV74">
        <f>MAX(0,Start!$D$9-IU71)</f>
        <v/>
      </c>
      <c r="IY74">
        <f>MAX(0,Start!$D$9-IX71)</f>
        <v/>
      </c>
      <c r="JB74">
        <f>MAX(0,Start!$D$9-JA71)</f>
        <v/>
      </c>
      <c r="JE74">
        <f>MAX(0,Start!$D$9-JD71)</f>
        <v/>
      </c>
      <c r="JH74">
        <f>MAX(0,Start!$D$9-JG71)</f>
        <v/>
      </c>
      <c r="JK74">
        <f>MAX(0,Start!$D$9-JJ71)</f>
        <v/>
      </c>
      <c r="JN74">
        <f>MAX(0,Start!$D$9-JM71)</f>
        <v/>
      </c>
      <c r="JQ74">
        <f>MAX(0,Start!$D$9-JP71)</f>
        <v/>
      </c>
      <c r="JT74">
        <f>MAX(0,Start!$D$9-JS71)</f>
        <v/>
      </c>
      <c r="JW74">
        <f>MAX(0,Start!$D$9-JV71)</f>
        <v/>
      </c>
      <c r="JZ74">
        <f>MAX(0,Start!$D$9-JY71)</f>
        <v/>
      </c>
      <c r="KC74">
        <f>MAX(0,Start!$D$9-KB71)</f>
        <v/>
      </c>
      <c r="KF74">
        <f>MAX(0,Start!$D$9-KE71)</f>
        <v/>
      </c>
      <c r="KI74">
        <f>MAX(0,Start!$D$9-KH71)</f>
        <v/>
      </c>
      <c r="KL74">
        <f>MAX(0,Start!$D$9-KK71)</f>
        <v/>
      </c>
      <c r="KO74">
        <f>MAX(0,Start!$D$9-KN71)</f>
        <v/>
      </c>
      <c r="KR74">
        <f>MAX(0,Start!$D$9-KQ71)</f>
        <v/>
      </c>
      <c r="KU74">
        <f>MAX(0,Start!$D$9-KT71)</f>
        <v/>
      </c>
      <c r="KX74">
        <f>MAX(0,Start!$D$9-KW71)</f>
        <v/>
      </c>
      <c r="LA74">
        <f>MAX(0,Start!$D$9-KZ71)</f>
        <v/>
      </c>
      <c r="LD74">
        <f>MAX(0,Start!$D$9-LC71)</f>
        <v/>
      </c>
      <c r="LG74">
        <f>MAX(0,Start!$D$9-LF71)</f>
        <v/>
      </c>
      <c r="LJ74">
        <f>MAX(0,Start!$D$9-LI71)</f>
        <v/>
      </c>
      <c r="LM74">
        <f>MAX(0,Start!$D$9-LL71)</f>
        <v/>
      </c>
      <c r="LP74">
        <f>MAX(0,Start!$D$9-LO71)</f>
        <v/>
      </c>
      <c r="LS74">
        <f>MAX(0,Start!$D$9-LR71)</f>
        <v/>
      </c>
      <c r="LV74">
        <f>MAX(0,Start!$D$9-LU71)</f>
        <v/>
      </c>
      <c r="LY74">
        <f>MAX(0,Start!$D$9-LX71)</f>
        <v/>
      </c>
      <c r="MB74">
        <f>MAX(0,Start!$D$9-MA71)</f>
        <v/>
      </c>
      <c r="ME74">
        <f>MAX(0,Start!$D$9-MD71)</f>
        <v/>
      </c>
      <c r="MH74">
        <f>MAX(0,Start!$D$9-MG71)</f>
        <v/>
      </c>
      <c r="MK74">
        <f>MAX(0,Start!$D$9-MJ71)</f>
        <v/>
      </c>
      <c r="MN74">
        <f>MAX(0,Start!$D$9-MM71)</f>
        <v/>
      </c>
      <c r="MQ74">
        <f>MAX(0,Start!$D$9-MP71)</f>
        <v/>
      </c>
      <c r="MT74">
        <f>MAX(0,Start!$D$9-MS71)</f>
        <v/>
      </c>
      <c r="MW74">
        <f>MAX(0,Start!$D$9-MV71)</f>
        <v/>
      </c>
    </row>
    <row r="75">
      <c r="A75" t="inlineStr">
        <is>
          <t>slot 1</t>
        </is>
      </c>
      <c r="B75">
        <f>J24</f>
        <v/>
      </c>
      <c r="C75">
        <f>MAX(0,B75*(1+$K$24)-$L$24)</f>
        <v/>
      </c>
      <c r="D75">
        <f>D74-MIN(D74,C75)</f>
        <v/>
      </c>
      <c r="E75">
        <f>C75-(D74-D75)</f>
        <v/>
      </c>
      <c r="F75">
        <f>MAX(0,E75*(1+$K$24)-$L$24)</f>
        <v/>
      </c>
      <c r="G75">
        <f>G74-MIN(G74,F75)</f>
        <v/>
      </c>
      <c r="H75">
        <f>F75-(G74-G75)</f>
        <v/>
      </c>
      <c r="I75">
        <f>MAX(0,H75*(1+$K$24)-$L$24)</f>
        <v/>
      </c>
      <c r="J75">
        <f>J74-MIN(J74,I75)</f>
        <v/>
      </c>
      <c r="K75">
        <f>I75-(J74-J75)</f>
        <v/>
      </c>
      <c r="L75">
        <f>MAX(0,K75*(1+$K$24)-$L$24)</f>
        <v/>
      </c>
      <c r="M75">
        <f>M74-MIN(M74,L75)</f>
        <v/>
      </c>
      <c r="N75">
        <f>L75-(M74-M75)</f>
        <v/>
      </c>
      <c r="O75">
        <f>MAX(0,N75*(1+$K$24)-$L$24)</f>
        <v/>
      </c>
      <c r="P75">
        <f>P74-MIN(P74,O75)</f>
        <v/>
      </c>
      <c r="Q75">
        <f>O75-(P74-P75)</f>
        <v/>
      </c>
      <c r="R75">
        <f>MAX(0,Q75*(1+$K$24)-$L$24)</f>
        <v/>
      </c>
      <c r="S75">
        <f>S74-MIN(S74,R75)</f>
        <v/>
      </c>
      <c r="T75">
        <f>R75-(S74-S75)</f>
        <v/>
      </c>
      <c r="U75">
        <f>MAX(0,T75*(1+$K$24)-$L$24)</f>
        <v/>
      </c>
      <c r="V75">
        <f>V74-MIN(V74,U75)</f>
        <v/>
      </c>
      <c r="W75">
        <f>U75-(V74-V75)</f>
        <v/>
      </c>
      <c r="X75">
        <f>MAX(0,W75*(1+$K$24)-$L$24)</f>
        <v/>
      </c>
      <c r="Y75">
        <f>Y74-MIN(Y74,X75)</f>
        <v/>
      </c>
      <c r="Z75">
        <f>X75-(Y74-Y75)</f>
        <v/>
      </c>
      <c r="AA75">
        <f>MAX(0,Z75*(1+$K$24)-$L$24)</f>
        <v/>
      </c>
      <c r="AB75">
        <f>AB74-MIN(AB74,AA75)</f>
        <v/>
      </c>
      <c r="AC75">
        <f>AA75-(AB74-AB75)</f>
        <v/>
      </c>
      <c r="AD75">
        <f>MAX(0,AC75*(1+$K$24)-$L$24)</f>
        <v/>
      </c>
      <c r="AE75">
        <f>AE74-MIN(AE74,AD75)</f>
        <v/>
      </c>
      <c r="AF75">
        <f>AD75-(AE74-AE75)</f>
        <v/>
      </c>
      <c r="AG75">
        <f>MAX(0,AF75*(1+$K$24)-$L$24)</f>
        <v/>
      </c>
      <c r="AH75">
        <f>AH74-MIN(AH74,AG75)</f>
        <v/>
      </c>
      <c r="AI75">
        <f>AG75-(AH74-AH75)</f>
        <v/>
      </c>
      <c r="AJ75">
        <f>MAX(0,AI75*(1+$K$24)-$L$24)</f>
        <v/>
      </c>
      <c r="AK75">
        <f>AK74-MIN(AK74,AJ75)</f>
        <v/>
      </c>
      <c r="AL75">
        <f>AJ75-(AK74-AK75)</f>
        <v/>
      </c>
      <c r="AM75">
        <f>MAX(0,AL75*(1+$K$24)-$L$24)</f>
        <v/>
      </c>
      <c r="AN75">
        <f>AN74-MIN(AN74,AM75)</f>
        <v/>
      </c>
      <c r="AO75">
        <f>AM75-(AN74-AN75)</f>
        <v/>
      </c>
      <c r="AP75">
        <f>MAX(0,AO75*(1+$K$24)-$L$24)</f>
        <v/>
      </c>
      <c r="AQ75">
        <f>AQ74-MIN(AQ74,AP75)</f>
        <v/>
      </c>
      <c r="AR75">
        <f>AP75-(AQ74-AQ75)</f>
        <v/>
      </c>
      <c r="AS75">
        <f>MAX(0,AR75*(1+$K$24)-$L$24)</f>
        <v/>
      </c>
      <c r="AT75">
        <f>AT74-MIN(AT74,AS75)</f>
        <v/>
      </c>
      <c r="AU75">
        <f>AS75-(AT74-AT75)</f>
        <v/>
      </c>
      <c r="AV75">
        <f>MAX(0,AU75*(1+$K$24)-$L$24)</f>
        <v/>
      </c>
      <c r="AW75">
        <f>AW74-MIN(AW74,AV75)</f>
        <v/>
      </c>
      <c r="AX75">
        <f>AV75-(AW74-AW75)</f>
        <v/>
      </c>
      <c r="AY75">
        <f>MAX(0,AX75*(1+$K$24)-$L$24)</f>
        <v/>
      </c>
      <c r="AZ75">
        <f>AZ74-MIN(AZ74,AY75)</f>
        <v/>
      </c>
      <c r="BA75">
        <f>AY75-(AZ74-AZ75)</f>
        <v/>
      </c>
      <c r="BB75">
        <f>MAX(0,BA75*(1+$K$24)-$L$24)</f>
        <v/>
      </c>
      <c r="BC75">
        <f>BC74-MIN(BC74,BB75)</f>
        <v/>
      </c>
      <c r="BD75">
        <f>BB75-(BC74-BC75)</f>
        <v/>
      </c>
      <c r="BE75">
        <f>MAX(0,BD75*(1+$K$24)-$L$24)</f>
        <v/>
      </c>
      <c r="BF75">
        <f>BF74-MIN(BF74,BE75)</f>
        <v/>
      </c>
      <c r="BG75">
        <f>BE75-(BF74-BF75)</f>
        <v/>
      </c>
      <c r="BH75">
        <f>MAX(0,BG75*(1+$K$24)-$L$24)</f>
        <v/>
      </c>
      <c r="BI75">
        <f>BI74-MIN(BI74,BH75)</f>
        <v/>
      </c>
      <c r="BJ75">
        <f>BH75-(BI74-BI75)</f>
        <v/>
      </c>
      <c r="BK75">
        <f>MAX(0,BJ75*(1+$K$24)-$L$24)</f>
        <v/>
      </c>
      <c r="BL75">
        <f>BL74-MIN(BL74,BK75)</f>
        <v/>
      </c>
      <c r="BM75">
        <f>BK75-(BL74-BL75)</f>
        <v/>
      </c>
      <c r="BN75">
        <f>MAX(0,BM75*(1+$K$24)-$L$24)</f>
        <v/>
      </c>
      <c r="BO75">
        <f>BO74-MIN(BO74,BN75)</f>
        <v/>
      </c>
      <c r="BP75">
        <f>BN75-(BO74-BO75)</f>
        <v/>
      </c>
      <c r="BQ75">
        <f>MAX(0,BP75*(1+$K$24)-$L$24)</f>
        <v/>
      </c>
      <c r="BR75">
        <f>BR74-MIN(BR74,BQ75)</f>
        <v/>
      </c>
      <c r="BS75">
        <f>BQ75-(BR74-BR75)</f>
        <v/>
      </c>
      <c r="BT75">
        <f>MAX(0,BS75*(1+$K$24)-$L$24)</f>
        <v/>
      </c>
      <c r="BU75">
        <f>BU74-MIN(BU74,BT75)</f>
        <v/>
      </c>
      <c r="BV75">
        <f>BT75-(BU74-BU75)</f>
        <v/>
      </c>
      <c r="BW75">
        <f>MAX(0,BV75*(1+$K$24)-$L$24)</f>
        <v/>
      </c>
      <c r="BX75">
        <f>BX74-MIN(BX74,BW75)</f>
        <v/>
      </c>
      <c r="BY75">
        <f>BW75-(BX74-BX75)</f>
        <v/>
      </c>
      <c r="BZ75">
        <f>MAX(0,BY75*(1+$K$24)-$L$24)</f>
        <v/>
      </c>
      <c r="CA75">
        <f>CA74-MIN(CA74,BZ75)</f>
        <v/>
      </c>
      <c r="CB75">
        <f>BZ75-(CA74-CA75)</f>
        <v/>
      </c>
      <c r="CC75">
        <f>MAX(0,CB75*(1+$K$24)-$L$24)</f>
        <v/>
      </c>
      <c r="CD75">
        <f>CD74-MIN(CD74,CC75)</f>
        <v/>
      </c>
      <c r="CE75">
        <f>CC75-(CD74-CD75)</f>
        <v/>
      </c>
      <c r="CF75">
        <f>MAX(0,CE75*(1+$K$24)-$L$24)</f>
        <v/>
      </c>
      <c r="CG75">
        <f>CG74-MIN(CG74,CF75)</f>
        <v/>
      </c>
      <c r="CH75">
        <f>CF75-(CG74-CG75)</f>
        <v/>
      </c>
      <c r="CI75">
        <f>MAX(0,CH75*(1+$K$24)-$L$24)</f>
        <v/>
      </c>
      <c r="CJ75">
        <f>CJ74-MIN(CJ74,CI75)</f>
        <v/>
      </c>
      <c r="CK75">
        <f>CI75-(CJ74-CJ75)</f>
        <v/>
      </c>
      <c r="CL75">
        <f>MAX(0,CK75*(1+$K$24)-$L$24)</f>
        <v/>
      </c>
      <c r="CM75">
        <f>CM74-MIN(CM74,CL75)</f>
        <v/>
      </c>
      <c r="CN75">
        <f>CL75-(CM74-CM75)</f>
        <v/>
      </c>
      <c r="CO75">
        <f>MAX(0,CN75*(1+$K$24)-$L$24)</f>
        <v/>
      </c>
      <c r="CP75">
        <f>CP74-MIN(CP74,CO75)</f>
        <v/>
      </c>
      <c r="CQ75">
        <f>CO75-(CP74-CP75)</f>
        <v/>
      </c>
      <c r="CR75">
        <f>MAX(0,CQ75*(1+$K$24)-$L$24)</f>
        <v/>
      </c>
      <c r="CS75">
        <f>CS74-MIN(CS74,CR75)</f>
        <v/>
      </c>
      <c r="CT75">
        <f>CR75-(CS74-CS75)</f>
        <v/>
      </c>
      <c r="CU75">
        <f>MAX(0,CT75*(1+$K$24)-$L$24)</f>
        <v/>
      </c>
      <c r="CV75">
        <f>CV74-MIN(CV74,CU75)</f>
        <v/>
      </c>
      <c r="CW75">
        <f>CU75-(CV74-CV75)</f>
        <v/>
      </c>
      <c r="CX75">
        <f>MAX(0,CW75*(1+$K$24)-$L$24)</f>
        <v/>
      </c>
      <c r="CY75">
        <f>CY74-MIN(CY74,CX75)</f>
        <v/>
      </c>
      <c r="CZ75">
        <f>CX75-(CY74-CY75)</f>
        <v/>
      </c>
      <c r="DA75">
        <f>MAX(0,CZ75*(1+$K$24)-$L$24)</f>
        <v/>
      </c>
      <c r="DB75">
        <f>DB74-MIN(DB74,DA75)</f>
        <v/>
      </c>
      <c r="DC75">
        <f>DA75-(DB74-DB75)</f>
        <v/>
      </c>
      <c r="DD75">
        <f>MAX(0,DC75*(1+$K$24)-$L$24)</f>
        <v/>
      </c>
      <c r="DE75">
        <f>DE74-MIN(DE74,DD75)</f>
        <v/>
      </c>
      <c r="DF75">
        <f>DD75-(DE74-DE75)</f>
        <v/>
      </c>
      <c r="DG75">
        <f>MAX(0,DF75*(1+$K$24)-$L$24)</f>
        <v/>
      </c>
      <c r="DH75">
        <f>DH74-MIN(DH74,DG75)</f>
        <v/>
      </c>
      <c r="DI75">
        <f>DG75-(DH74-DH75)</f>
        <v/>
      </c>
      <c r="DJ75">
        <f>MAX(0,DI75*(1+$K$24)-$L$24)</f>
        <v/>
      </c>
      <c r="DK75">
        <f>DK74-MIN(DK74,DJ75)</f>
        <v/>
      </c>
      <c r="DL75">
        <f>DJ75-(DK74-DK75)</f>
        <v/>
      </c>
      <c r="DM75">
        <f>MAX(0,DL75*(1+$K$24)-$L$24)</f>
        <v/>
      </c>
      <c r="DN75">
        <f>DN74-MIN(DN74,DM75)</f>
        <v/>
      </c>
      <c r="DO75">
        <f>DM75-(DN74-DN75)</f>
        <v/>
      </c>
      <c r="DP75">
        <f>MAX(0,DO75*(1+$K$24)-$L$24)</f>
        <v/>
      </c>
      <c r="DQ75">
        <f>DQ74-MIN(DQ74,DP75)</f>
        <v/>
      </c>
      <c r="DR75">
        <f>DP75-(DQ74-DQ75)</f>
        <v/>
      </c>
      <c r="DS75">
        <f>MAX(0,DR75*(1+$K$24)-$L$24)</f>
        <v/>
      </c>
      <c r="DT75">
        <f>DT74-MIN(DT74,DS75)</f>
        <v/>
      </c>
      <c r="DU75">
        <f>DS75-(DT74-DT75)</f>
        <v/>
      </c>
      <c r="DV75">
        <f>MAX(0,DU75*(1+$K$24)-$L$24)</f>
        <v/>
      </c>
      <c r="DW75">
        <f>DW74-MIN(DW74,DV75)</f>
        <v/>
      </c>
      <c r="DX75">
        <f>DV75-(DW74-DW75)</f>
        <v/>
      </c>
      <c r="DY75">
        <f>MAX(0,DX75*(1+$K$24)-$L$24)</f>
        <v/>
      </c>
      <c r="DZ75">
        <f>DZ74-MIN(DZ74,DY75)</f>
        <v/>
      </c>
      <c r="EA75">
        <f>DY75-(DZ74-DZ75)</f>
        <v/>
      </c>
      <c r="EB75">
        <f>MAX(0,EA75*(1+$K$24)-$L$24)</f>
        <v/>
      </c>
      <c r="EC75">
        <f>EC74-MIN(EC74,EB75)</f>
        <v/>
      </c>
      <c r="ED75">
        <f>EB75-(EC74-EC75)</f>
        <v/>
      </c>
      <c r="EE75">
        <f>MAX(0,ED75*(1+$K$24)-$L$24)</f>
        <v/>
      </c>
      <c r="EF75">
        <f>EF74-MIN(EF74,EE75)</f>
        <v/>
      </c>
      <c r="EG75">
        <f>EE75-(EF74-EF75)</f>
        <v/>
      </c>
      <c r="EH75">
        <f>MAX(0,EG75*(1+$K$24)-$L$24)</f>
        <v/>
      </c>
      <c r="EI75">
        <f>EI74-MIN(EI74,EH75)</f>
        <v/>
      </c>
      <c r="EJ75">
        <f>EH75-(EI74-EI75)</f>
        <v/>
      </c>
      <c r="EK75">
        <f>MAX(0,EJ75*(1+$K$24)-$L$24)</f>
        <v/>
      </c>
      <c r="EL75">
        <f>EL74-MIN(EL74,EK75)</f>
        <v/>
      </c>
      <c r="EM75">
        <f>EK75-(EL74-EL75)</f>
        <v/>
      </c>
      <c r="EN75">
        <f>MAX(0,EM75*(1+$K$24)-$L$24)</f>
        <v/>
      </c>
      <c r="EO75">
        <f>EO74-MIN(EO74,EN75)</f>
        <v/>
      </c>
      <c r="EP75">
        <f>EN75-(EO74-EO75)</f>
        <v/>
      </c>
      <c r="EQ75">
        <f>MAX(0,EP75*(1+$K$24)-$L$24)</f>
        <v/>
      </c>
      <c r="ER75">
        <f>ER74-MIN(ER74,EQ75)</f>
        <v/>
      </c>
      <c r="ES75">
        <f>EQ75-(ER74-ER75)</f>
        <v/>
      </c>
      <c r="ET75">
        <f>MAX(0,ES75*(1+$K$24)-$L$24)</f>
        <v/>
      </c>
      <c r="EU75">
        <f>EU74-MIN(EU74,ET75)</f>
        <v/>
      </c>
      <c r="EV75">
        <f>ET75-(EU74-EU75)</f>
        <v/>
      </c>
      <c r="EW75">
        <f>MAX(0,EV75*(1+$K$24)-$L$24)</f>
        <v/>
      </c>
      <c r="EX75">
        <f>EX74-MIN(EX74,EW75)</f>
        <v/>
      </c>
      <c r="EY75">
        <f>EW75-(EX74-EX75)</f>
        <v/>
      </c>
      <c r="EZ75">
        <f>MAX(0,EY75*(1+$K$24)-$L$24)</f>
        <v/>
      </c>
      <c r="FA75">
        <f>FA74-MIN(FA74,EZ75)</f>
        <v/>
      </c>
      <c r="FB75">
        <f>EZ75-(FA74-FA75)</f>
        <v/>
      </c>
      <c r="FC75">
        <f>MAX(0,FB75*(1+$K$24)-$L$24)</f>
        <v/>
      </c>
      <c r="FD75">
        <f>FD74-MIN(FD74,FC75)</f>
        <v/>
      </c>
      <c r="FE75">
        <f>FC75-(FD74-FD75)</f>
        <v/>
      </c>
      <c r="FF75">
        <f>MAX(0,FE75*(1+$K$24)-$L$24)</f>
        <v/>
      </c>
      <c r="FG75">
        <f>FG74-MIN(FG74,FF75)</f>
        <v/>
      </c>
      <c r="FH75">
        <f>FF75-(FG74-FG75)</f>
        <v/>
      </c>
      <c r="FI75">
        <f>MAX(0,FH75*(1+$K$24)-$L$24)</f>
        <v/>
      </c>
      <c r="FJ75">
        <f>FJ74-MIN(FJ74,FI75)</f>
        <v/>
      </c>
      <c r="FK75">
        <f>FI75-(FJ74-FJ75)</f>
        <v/>
      </c>
      <c r="FL75">
        <f>MAX(0,FK75*(1+$K$24)-$L$24)</f>
        <v/>
      </c>
      <c r="FM75">
        <f>FM74-MIN(FM74,FL75)</f>
        <v/>
      </c>
      <c r="FN75">
        <f>FL75-(FM74-FM75)</f>
        <v/>
      </c>
      <c r="FO75">
        <f>MAX(0,FN75*(1+$K$24)-$L$24)</f>
        <v/>
      </c>
      <c r="FP75">
        <f>FP74-MIN(FP74,FO75)</f>
        <v/>
      </c>
      <c r="FQ75">
        <f>FO75-(FP74-FP75)</f>
        <v/>
      </c>
      <c r="FR75">
        <f>MAX(0,FQ75*(1+$K$24)-$L$24)</f>
        <v/>
      </c>
      <c r="FS75">
        <f>FS74-MIN(FS74,FR75)</f>
        <v/>
      </c>
      <c r="FT75">
        <f>FR75-(FS74-FS75)</f>
        <v/>
      </c>
      <c r="FU75">
        <f>MAX(0,FT75*(1+$K$24)-$L$24)</f>
        <v/>
      </c>
      <c r="FV75">
        <f>FV74-MIN(FV74,FU75)</f>
        <v/>
      </c>
      <c r="FW75">
        <f>FU75-(FV74-FV75)</f>
        <v/>
      </c>
      <c r="FX75">
        <f>MAX(0,FW75*(1+$K$24)-$L$24)</f>
        <v/>
      </c>
      <c r="FY75">
        <f>FY74-MIN(FY74,FX75)</f>
        <v/>
      </c>
      <c r="FZ75">
        <f>FX75-(FY74-FY75)</f>
        <v/>
      </c>
      <c r="GA75">
        <f>MAX(0,FZ75*(1+$K$24)-$L$24)</f>
        <v/>
      </c>
      <c r="GB75">
        <f>GB74-MIN(GB74,GA75)</f>
        <v/>
      </c>
      <c r="GC75">
        <f>GA75-(GB74-GB75)</f>
        <v/>
      </c>
      <c r="GD75">
        <f>MAX(0,GC75*(1+$K$24)-$L$24)</f>
        <v/>
      </c>
      <c r="GE75">
        <f>GE74-MIN(GE74,GD75)</f>
        <v/>
      </c>
      <c r="GF75">
        <f>GD75-(GE74-GE75)</f>
        <v/>
      </c>
      <c r="GG75">
        <f>MAX(0,GF75*(1+$K$24)-$L$24)</f>
        <v/>
      </c>
      <c r="GH75">
        <f>GH74-MIN(GH74,GG75)</f>
        <v/>
      </c>
      <c r="GI75">
        <f>GG75-(GH74-GH75)</f>
        <v/>
      </c>
      <c r="GJ75">
        <f>MAX(0,GI75*(1+$K$24)-$L$24)</f>
        <v/>
      </c>
      <c r="GK75">
        <f>GK74-MIN(GK74,GJ75)</f>
        <v/>
      </c>
      <c r="GL75">
        <f>GJ75-(GK74-GK75)</f>
        <v/>
      </c>
      <c r="GM75">
        <f>MAX(0,GL75*(1+$K$24)-$L$24)</f>
        <v/>
      </c>
      <c r="GN75">
        <f>GN74-MIN(GN74,GM75)</f>
        <v/>
      </c>
      <c r="GO75">
        <f>GM75-(GN74-GN75)</f>
        <v/>
      </c>
      <c r="GP75">
        <f>MAX(0,GO75*(1+$K$24)-$L$24)</f>
        <v/>
      </c>
      <c r="GQ75">
        <f>GQ74-MIN(GQ74,GP75)</f>
        <v/>
      </c>
      <c r="GR75">
        <f>GP75-(GQ74-GQ75)</f>
        <v/>
      </c>
      <c r="GS75">
        <f>MAX(0,GR75*(1+$K$24)-$L$24)</f>
        <v/>
      </c>
      <c r="GT75">
        <f>GT74-MIN(GT74,GS75)</f>
        <v/>
      </c>
      <c r="GU75">
        <f>GS75-(GT74-GT75)</f>
        <v/>
      </c>
      <c r="GV75">
        <f>MAX(0,GU75*(1+$K$24)-$L$24)</f>
        <v/>
      </c>
      <c r="GW75">
        <f>GW74-MIN(GW74,GV75)</f>
        <v/>
      </c>
      <c r="GX75">
        <f>GV75-(GW74-GW75)</f>
        <v/>
      </c>
      <c r="GY75">
        <f>MAX(0,GX75*(1+$K$24)-$L$24)</f>
        <v/>
      </c>
      <c r="GZ75">
        <f>GZ74-MIN(GZ74,GY75)</f>
        <v/>
      </c>
      <c r="HA75">
        <f>GY75-(GZ74-GZ75)</f>
        <v/>
      </c>
      <c r="HB75">
        <f>MAX(0,HA75*(1+$K$24)-$L$24)</f>
        <v/>
      </c>
      <c r="HC75">
        <f>HC74-MIN(HC74,HB75)</f>
        <v/>
      </c>
      <c r="HD75">
        <f>HB75-(HC74-HC75)</f>
        <v/>
      </c>
      <c r="HE75">
        <f>MAX(0,HD75*(1+$K$24)-$L$24)</f>
        <v/>
      </c>
      <c r="HF75">
        <f>HF74-MIN(HF74,HE75)</f>
        <v/>
      </c>
      <c r="HG75">
        <f>HE75-(HF74-HF75)</f>
        <v/>
      </c>
      <c r="HH75">
        <f>MAX(0,HG75*(1+$K$24)-$L$24)</f>
        <v/>
      </c>
      <c r="HI75">
        <f>HI74-MIN(HI74,HH75)</f>
        <v/>
      </c>
      <c r="HJ75">
        <f>HH75-(HI74-HI75)</f>
        <v/>
      </c>
      <c r="HK75">
        <f>MAX(0,HJ75*(1+$K$24)-$L$24)</f>
        <v/>
      </c>
      <c r="HL75">
        <f>HL74-MIN(HL74,HK75)</f>
        <v/>
      </c>
      <c r="HM75">
        <f>HK75-(HL74-HL75)</f>
        <v/>
      </c>
      <c r="HN75">
        <f>MAX(0,HM75*(1+$K$24)-$L$24)</f>
        <v/>
      </c>
      <c r="HO75">
        <f>HO74-MIN(HO74,HN75)</f>
        <v/>
      </c>
      <c r="HP75">
        <f>HN75-(HO74-HO75)</f>
        <v/>
      </c>
      <c r="HQ75">
        <f>MAX(0,HP75*(1+$K$24)-$L$24)</f>
        <v/>
      </c>
      <c r="HR75">
        <f>HR74-MIN(HR74,HQ75)</f>
        <v/>
      </c>
      <c r="HS75">
        <f>HQ75-(HR74-HR75)</f>
        <v/>
      </c>
      <c r="HT75">
        <f>MAX(0,HS75*(1+$K$24)-$L$24)</f>
        <v/>
      </c>
      <c r="HU75">
        <f>HU74-MIN(HU74,HT75)</f>
        <v/>
      </c>
      <c r="HV75">
        <f>HT75-(HU74-HU75)</f>
        <v/>
      </c>
      <c r="HW75">
        <f>MAX(0,HV75*(1+$K$24)-$L$24)</f>
        <v/>
      </c>
      <c r="HX75">
        <f>HX74-MIN(HX74,HW75)</f>
        <v/>
      </c>
      <c r="HY75">
        <f>HW75-(HX74-HX75)</f>
        <v/>
      </c>
      <c r="HZ75">
        <f>MAX(0,HY75*(1+$K$24)-$L$24)</f>
        <v/>
      </c>
      <c r="IA75">
        <f>IA74-MIN(IA74,HZ75)</f>
        <v/>
      </c>
      <c r="IB75">
        <f>HZ75-(IA74-IA75)</f>
        <v/>
      </c>
      <c r="IC75">
        <f>MAX(0,IB75*(1+$K$24)-$L$24)</f>
        <v/>
      </c>
      <c r="ID75">
        <f>ID74-MIN(ID74,IC75)</f>
        <v/>
      </c>
      <c r="IE75">
        <f>IC75-(ID74-ID75)</f>
        <v/>
      </c>
      <c r="IF75">
        <f>MAX(0,IE75*(1+$K$24)-$L$24)</f>
        <v/>
      </c>
      <c r="IG75">
        <f>IG74-MIN(IG74,IF75)</f>
        <v/>
      </c>
      <c r="IH75">
        <f>IF75-(IG74-IG75)</f>
        <v/>
      </c>
      <c r="II75">
        <f>MAX(0,IH75*(1+$K$24)-$L$24)</f>
        <v/>
      </c>
      <c r="IJ75">
        <f>IJ74-MIN(IJ74,II75)</f>
        <v/>
      </c>
      <c r="IK75">
        <f>II75-(IJ74-IJ75)</f>
        <v/>
      </c>
      <c r="IL75">
        <f>MAX(0,IK75*(1+$K$24)-$L$24)</f>
        <v/>
      </c>
      <c r="IM75">
        <f>IM74-MIN(IM74,IL75)</f>
        <v/>
      </c>
      <c r="IN75">
        <f>IL75-(IM74-IM75)</f>
        <v/>
      </c>
      <c r="IO75">
        <f>MAX(0,IN75*(1+$K$24)-$L$24)</f>
        <v/>
      </c>
      <c r="IP75">
        <f>IP74-MIN(IP74,IO75)</f>
        <v/>
      </c>
      <c r="IQ75">
        <f>IO75-(IP74-IP75)</f>
        <v/>
      </c>
      <c r="IR75">
        <f>MAX(0,IQ75*(1+$K$24)-$L$24)</f>
        <v/>
      </c>
      <c r="IS75">
        <f>IS74-MIN(IS74,IR75)</f>
        <v/>
      </c>
      <c r="IT75">
        <f>IR75-(IS74-IS75)</f>
        <v/>
      </c>
      <c r="IU75">
        <f>MAX(0,IT75*(1+$K$24)-$L$24)</f>
        <v/>
      </c>
      <c r="IV75">
        <f>IV74-MIN(IV74,IU75)</f>
        <v/>
      </c>
      <c r="IW75">
        <f>IU75-(IV74-IV75)</f>
        <v/>
      </c>
      <c r="IX75">
        <f>MAX(0,IW75*(1+$K$24)-$L$24)</f>
        <v/>
      </c>
      <c r="IY75">
        <f>IY74-MIN(IY74,IX75)</f>
        <v/>
      </c>
      <c r="IZ75">
        <f>IX75-(IY74-IY75)</f>
        <v/>
      </c>
      <c r="JA75">
        <f>MAX(0,IZ75*(1+$K$24)-$L$24)</f>
        <v/>
      </c>
      <c r="JB75">
        <f>JB74-MIN(JB74,JA75)</f>
        <v/>
      </c>
      <c r="JC75">
        <f>JA75-(JB74-JB75)</f>
        <v/>
      </c>
      <c r="JD75">
        <f>MAX(0,JC75*(1+$K$24)-$L$24)</f>
        <v/>
      </c>
      <c r="JE75">
        <f>JE74-MIN(JE74,JD75)</f>
        <v/>
      </c>
      <c r="JF75">
        <f>JD75-(JE74-JE75)</f>
        <v/>
      </c>
      <c r="JG75">
        <f>MAX(0,JF75*(1+$K$24)-$L$24)</f>
        <v/>
      </c>
      <c r="JH75">
        <f>JH74-MIN(JH74,JG75)</f>
        <v/>
      </c>
      <c r="JI75">
        <f>JG75-(JH74-JH75)</f>
        <v/>
      </c>
      <c r="JJ75">
        <f>MAX(0,JI75*(1+$K$24)-$L$24)</f>
        <v/>
      </c>
      <c r="JK75">
        <f>JK74-MIN(JK74,JJ75)</f>
        <v/>
      </c>
      <c r="JL75">
        <f>JJ75-(JK74-JK75)</f>
        <v/>
      </c>
      <c r="JM75">
        <f>MAX(0,JL75*(1+$K$24)-$L$24)</f>
        <v/>
      </c>
      <c r="JN75">
        <f>JN74-MIN(JN74,JM75)</f>
        <v/>
      </c>
      <c r="JO75">
        <f>JM75-(JN74-JN75)</f>
        <v/>
      </c>
      <c r="JP75">
        <f>MAX(0,JO75*(1+$K$24)-$L$24)</f>
        <v/>
      </c>
      <c r="JQ75">
        <f>JQ74-MIN(JQ74,JP75)</f>
        <v/>
      </c>
      <c r="JR75">
        <f>JP75-(JQ74-JQ75)</f>
        <v/>
      </c>
      <c r="JS75">
        <f>MAX(0,JR75*(1+$K$24)-$L$24)</f>
        <v/>
      </c>
      <c r="JT75">
        <f>JT74-MIN(JT74,JS75)</f>
        <v/>
      </c>
      <c r="JU75">
        <f>JS75-(JT74-JT75)</f>
        <v/>
      </c>
      <c r="JV75">
        <f>MAX(0,JU75*(1+$K$24)-$L$24)</f>
        <v/>
      </c>
      <c r="JW75">
        <f>JW74-MIN(JW74,JV75)</f>
        <v/>
      </c>
      <c r="JX75">
        <f>JV75-(JW74-JW75)</f>
        <v/>
      </c>
      <c r="JY75">
        <f>MAX(0,JX75*(1+$K$24)-$L$24)</f>
        <v/>
      </c>
      <c r="JZ75">
        <f>JZ74-MIN(JZ74,JY75)</f>
        <v/>
      </c>
      <c r="KA75">
        <f>JY75-(JZ74-JZ75)</f>
        <v/>
      </c>
      <c r="KB75">
        <f>MAX(0,KA75*(1+$K$24)-$L$24)</f>
        <v/>
      </c>
      <c r="KC75">
        <f>KC74-MIN(KC74,KB75)</f>
        <v/>
      </c>
      <c r="KD75">
        <f>KB75-(KC74-KC75)</f>
        <v/>
      </c>
      <c r="KE75">
        <f>MAX(0,KD75*(1+$K$24)-$L$24)</f>
        <v/>
      </c>
      <c r="KF75">
        <f>KF74-MIN(KF74,KE75)</f>
        <v/>
      </c>
      <c r="KG75">
        <f>KE75-(KF74-KF75)</f>
        <v/>
      </c>
      <c r="KH75">
        <f>MAX(0,KG75*(1+$K$24)-$L$24)</f>
        <v/>
      </c>
      <c r="KI75">
        <f>KI74-MIN(KI74,KH75)</f>
        <v/>
      </c>
      <c r="KJ75">
        <f>KH75-(KI74-KI75)</f>
        <v/>
      </c>
      <c r="KK75">
        <f>MAX(0,KJ75*(1+$K$24)-$L$24)</f>
        <v/>
      </c>
      <c r="KL75">
        <f>KL74-MIN(KL74,KK75)</f>
        <v/>
      </c>
      <c r="KM75">
        <f>KK75-(KL74-KL75)</f>
        <v/>
      </c>
      <c r="KN75">
        <f>MAX(0,KM75*(1+$K$24)-$L$24)</f>
        <v/>
      </c>
      <c r="KO75">
        <f>KO74-MIN(KO74,KN75)</f>
        <v/>
      </c>
      <c r="KP75">
        <f>KN75-(KO74-KO75)</f>
        <v/>
      </c>
      <c r="KQ75">
        <f>MAX(0,KP75*(1+$K$24)-$L$24)</f>
        <v/>
      </c>
      <c r="KR75">
        <f>KR74-MIN(KR74,KQ75)</f>
        <v/>
      </c>
      <c r="KS75">
        <f>KQ75-(KR74-KR75)</f>
        <v/>
      </c>
      <c r="KT75">
        <f>MAX(0,KS75*(1+$K$24)-$L$24)</f>
        <v/>
      </c>
      <c r="KU75">
        <f>KU74-MIN(KU74,KT75)</f>
        <v/>
      </c>
      <c r="KV75">
        <f>KT75-(KU74-KU75)</f>
        <v/>
      </c>
      <c r="KW75">
        <f>MAX(0,KV75*(1+$K$24)-$L$24)</f>
        <v/>
      </c>
      <c r="KX75">
        <f>KX74-MIN(KX74,KW75)</f>
        <v/>
      </c>
      <c r="KY75">
        <f>KW75-(KX74-KX75)</f>
        <v/>
      </c>
      <c r="KZ75">
        <f>MAX(0,KY75*(1+$K$24)-$L$24)</f>
        <v/>
      </c>
      <c r="LA75">
        <f>LA74-MIN(LA74,KZ75)</f>
        <v/>
      </c>
      <c r="LB75">
        <f>KZ75-(LA74-LA75)</f>
        <v/>
      </c>
      <c r="LC75">
        <f>MAX(0,LB75*(1+$K$24)-$L$24)</f>
        <v/>
      </c>
      <c r="LD75">
        <f>LD74-MIN(LD74,LC75)</f>
        <v/>
      </c>
      <c r="LE75">
        <f>LC75-(LD74-LD75)</f>
        <v/>
      </c>
      <c r="LF75">
        <f>MAX(0,LE75*(1+$K$24)-$L$24)</f>
        <v/>
      </c>
      <c r="LG75">
        <f>LG74-MIN(LG74,LF75)</f>
        <v/>
      </c>
      <c r="LH75">
        <f>LF75-(LG74-LG75)</f>
        <v/>
      </c>
      <c r="LI75">
        <f>MAX(0,LH75*(1+$K$24)-$L$24)</f>
        <v/>
      </c>
      <c r="LJ75">
        <f>LJ74-MIN(LJ74,LI75)</f>
        <v/>
      </c>
      <c r="LK75">
        <f>LI75-(LJ74-LJ75)</f>
        <v/>
      </c>
      <c r="LL75">
        <f>MAX(0,LK75*(1+$K$24)-$L$24)</f>
        <v/>
      </c>
      <c r="LM75">
        <f>LM74-MIN(LM74,LL75)</f>
        <v/>
      </c>
      <c r="LN75">
        <f>LL75-(LM74-LM75)</f>
        <v/>
      </c>
      <c r="LO75">
        <f>MAX(0,LN75*(1+$K$24)-$L$24)</f>
        <v/>
      </c>
      <c r="LP75">
        <f>LP74-MIN(LP74,LO75)</f>
        <v/>
      </c>
      <c r="LQ75">
        <f>LO75-(LP74-LP75)</f>
        <v/>
      </c>
      <c r="LR75">
        <f>MAX(0,LQ75*(1+$K$24)-$L$24)</f>
        <v/>
      </c>
      <c r="LS75">
        <f>LS74-MIN(LS74,LR75)</f>
        <v/>
      </c>
      <c r="LT75">
        <f>LR75-(LS74-LS75)</f>
        <v/>
      </c>
      <c r="LU75">
        <f>MAX(0,LT75*(1+$K$24)-$L$24)</f>
        <v/>
      </c>
      <c r="LV75">
        <f>LV74-MIN(LV74,LU75)</f>
        <v/>
      </c>
      <c r="LW75">
        <f>LU75-(LV74-LV75)</f>
        <v/>
      </c>
      <c r="LX75">
        <f>MAX(0,LW75*(1+$K$24)-$L$24)</f>
        <v/>
      </c>
      <c r="LY75">
        <f>LY74-MIN(LY74,LX75)</f>
        <v/>
      </c>
      <c r="LZ75">
        <f>LX75-(LY74-LY75)</f>
        <v/>
      </c>
      <c r="MA75">
        <f>MAX(0,LZ75*(1+$K$24)-$L$24)</f>
        <v/>
      </c>
      <c r="MB75">
        <f>MB74-MIN(MB74,MA75)</f>
        <v/>
      </c>
      <c r="MC75">
        <f>MA75-(MB74-MB75)</f>
        <v/>
      </c>
      <c r="MD75">
        <f>MAX(0,MC75*(1+$K$24)-$L$24)</f>
        <v/>
      </c>
      <c r="ME75">
        <f>ME74-MIN(ME74,MD75)</f>
        <v/>
      </c>
      <c r="MF75">
        <f>MD75-(ME74-ME75)</f>
        <v/>
      </c>
      <c r="MG75">
        <f>MAX(0,MF75*(1+$K$24)-$L$24)</f>
        <v/>
      </c>
      <c r="MH75">
        <f>MH74-MIN(MH74,MG75)</f>
        <v/>
      </c>
      <c r="MI75">
        <f>MG75-(MH74-MH75)</f>
        <v/>
      </c>
      <c r="MJ75">
        <f>MAX(0,MI75*(1+$K$24)-$L$24)</f>
        <v/>
      </c>
      <c r="MK75">
        <f>MK74-MIN(MK74,MJ75)</f>
        <v/>
      </c>
      <c r="ML75">
        <f>MJ75-(MK74-MK75)</f>
        <v/>
      </c>
      <c r="MM75">
        <f>MAX(0,ML75*(1+$K$24)-$L$24)</f>
        <v/>
      </c>
      <c r="MN75">
        <f>MN74-MIN(MN74,MM75)</f>
        <v/>
      </c>
      <c r="MO75">
        <f>MM75-(MN74-MN75)</f>
        <v/>
      </c>
      <c r="MP75">
        <f>MAX(0,MO75*(1+$K$24)-$L$24)</f>
        <v/>
      </c>
      <c r="MQ75">
        <f>MQ74-MIN(MQ74,MP75)</f>
        <v/>
      </c>
      <c r="MR75">
        <f>MP75-(MQ74-MQ75)</f>
        <v/>
      </c>
      <c r="MS75">
        <f>MAX(0,MR75*(1+$K$24)-$L$24)</f>
        <v/>
      </c>
      <c r="MT75">
        <f>MT74-MIN(MT74,MS75)</f>
        <v/>
      </c>
      <c r="MU75">
        <f>MS75-(MT74-MT75)</f>
        <v/>
      </c>
      <c r="MV75">
        <f>MAX(0,MU75*(1+$K$24)-$L$24)</f>
        <v/>
      </c>
      <c r="MW75">
        <f>MW74-MIN(MW74,MV75)</f>
        <v/>
      </c>
      <c r="MX75">
        <f>MV75-(MW74-MW75)</f>
        <v/>
      </c>
    </row>
    <row r="76">
      <c r="A76" t="inlineStr">
        <is>
          <t>slot 2</t>
        </is>
      </c>
      <c r="B76">
        <f>J25</f>
        <v/>
      </c>
      <c r="C76">
        <f>MAX(0,B76*(1+$K$25)-$L$25)</f>
        <v/>
      </c>
      <c r="D76">
        <f>D75-MIN(D75,C76)</f>
        <v/>
      </c>
      <c r="E76">
        <f>C76-(D75-D76)</f>
        <v/>
      </c>
      <c r="F76">
        <f>MAX(0,E76*(1+$K$25)-$L$25)</f>
        <v/>
      </c>
      <c r="G76">
        <f>G75-MIN(G75,F76)</f>
        <v/>
      </c>
      <c r="H76">
        <f>F76-(G75-G76)</f>
        <v/>
      </c>
      <c r="I76">
        <f>MAX(0,H76*(1+$K$25)-$L$25)</f>
        <v/>
      </c>
      <c r="J76">
        <f>J75-MIN(J75,I76)</f>
        <v/>
      </c>
      <c r="K76">
        <f>I76-(J75-J76)</f>
        <v/>
      </c>
      <c r="L76">
        <f>MAX(0,K76*(1+$K$25)-$L$25)</f>
        <v/>
      </c>
      <c r="M76">
        <f>M75-MIN(M75,L76)</f>
        <v/>
      </c>
      <c r="N76">
        <f>L76-(M75-M76)</f>
        <v/>
      </c>
      <c r="O76">
        <f>MAX(0,N76*(1+$K$25)-$L$25)</f>
        <v/>
      </c>
      <c r="P76">
        <f>P75-MIN(P75,O76)</f>
        <v/>
      </c>
      <c r="Q76">
        <f>O76-(P75-P76)</f>
        <v/>
      </c>
      <c r="R76">
        <f>MAX(0,Q76*(1+$K$25)-$L$25)</f>
        <v/>
      </c>
      <c r="S76">
        <f>S75-MIN(S75,R76)</f>
        <v/>
      </c>
      <c r="T76">
        <f>R76-(S75-S76)</f>
        <v/>
      </c>
      <c r="U76">
        <f>MAX(0,T76*(1+$K$25)-$L$25)</f>
        <v/>
      </c>
      <c r="V76">
        <f>V75-MIN(V75,U76)</f>
        <v/>
      </c>
      <c r="W76">
        <f>U76-(V75-V76)</f>
        <v/>
      </c>
      <c r="X76">
        <f>MAX(0,W76*(1+$K$25)-$L$25)</f>
        <v/>
      </c>
      <c r="Y76">
        <f>Y75-MIN(Y75,X76)</f>
        <v/>
      </c>
      <c r="Z76">
        <f>X76-(Y75-Y76)</f>
        <v/>
      </c>
      <c r="AA76">
        <f>MAX(0,Z76*(1+$K$25)-$L$25)</f>
        <v/>
      </c>
      <c r="AB76">
        <f>AB75-MIN(AB75,AA76)</f>
        <v/>
      </c>
      <c r="AC76">
        <f>AA76-(AB75-AB76)</f>
        <v/>
      </c>
      <c r="AD76">
        <f>MAX(0,AC76*(1+$K$25)-$L$25)</f>
        <v/>
      </c>
      <c r="AE76">
        <f>AE75-MIN(AE75,AD76)</f>
        <v/>
      </c>
      <c r="AF76">
        <f>AD76-(AE75-AE76)</f>
        <v/>
      </c>
      <c r="AG76">
        <f>MAX(0,AF76*(1+$K$25)-$L$25)</f>
        <v/>
      </c>
      <c r="AH76">
        <f>AH75-MIN(AH75,AG76)</f>
        <v/>
      </c>
      <c r="AI76">
        <f>AG76-(AH75-AH76)</f>
        <v/>
      </c>
      <c r="AJ76">
        <f>MAX(0,AI76*(1+$K$25)-$L$25)</f>
        <v/>
      </c>
      <c r="AK76">
        <f>AK75-MIN(AK75,AJ76)</f>
        <v/>
      </c>
      <c r="AL76">
        <f>AJ76-(AK75-AK76)</f>
        <v/>
      </c>
      <c r="AM76">
        <f>MAX(0,AL76*(1+$K$25)-$L$25)</f>
        <v/>
      </c>
      <c r="AN76">
        <f>AN75-MIN(AN75,AM76)</f>
        <v/>
      </c>
      <c r="AO76">
        <f>AM76-(AN75-AN76)</f>
        <v/>
      </c>
      <c r="AP76">
        <f>MAX(0,AO76*(1+$K$25)-$L$25)</f>
        <v/>
      </c>
      <c r="AQ76">
        <f>AQ75-MIN(AQ75,AP76)</f>
        <v/>
      </c>
      <c r="AR76">
        <f>AP76-(AQ75-AQ76)</f>
        <v/>
      </c>
      <c r="AS76">
        <f>MAX(0,AR76*(1+$K$25)-$L$25)</f>
        <v/>
      </c>
      <c r="AT76">
        <f>AT75-MIN(AT75,AS76)</f>
        <v/>
      </c>
      <c r="AU76">
        <f>AS76-(AT75-AT76)</f>
        <v/>
      </c>
      <c r="AV76">
        <f>MAX(0,AU76*(1+$K$25)-$L$25)</f>
        <v/>
      </c>
      <c r="AW76">
        <f>AW75-MIN(AW75,AV76)</f>
        <v/>
      </c>
      <c r="AX76">
        <f>AV76-(AW75-AW76)</f>
        <v/>
      </c>
      <c r="AY76">
        <f>MAX(0,AX76*(1+$K$25)-$L$25)</f>
        <v/>
      </c>
      <c r="AZ76">
        <f>AZ75-MIN(AZ75,AY76)</f>
        <v/>
      </c>
      <c r="BA76">
        <f>AY76-(AZ75-AZ76)</f>
        <v/>
      </c>
      <c r="BB76">
        <f>MAX(0,BA76*(1+$K$25)-$L$25)</f>
        <v/>
      </c>
      <c r="BC76">
        <f>BC75-MIN(BC75,BB76)</f>
        <v/>
      </c>
      <c r="BD76">
        <f>BB76-(BC75-BC76)</f>
        <v/>
      </c>
      <c r="BE76">
        <f>MAX(0,BD76*(1+$K$25)-$L$25)</f>
        <v/>
      </c>
      <c r="BF76">
        <f>BF75-MIN(BF75,BE76)</f>
        <v/>
      </c>
      <c r="BG76">
        <f>BE76-(BF75-BF76)</f>
        <v/>
      </c>
      <c r="BH76">
        <f>MAX(0,BG76*(1+$K$25)-$L$25)</f>
        <v/>
      </c>
      <c r="BI76">
        <f>BI75-MIN(BI75,BH76)</f>
        <v/>
      </c>
      <c r="BJ76">
        <f>BH76-(BI75-BI76)</f>
        <v/>
      </c>
      <c r="BK76">
        <f>MAX(0,BJ76*(1+$K$25)-$L$25)</f>
        <v/>
      </c>
      <c r="BL76">
        <f>BL75-MIN(BL75,BK76)</f>
        <v/>
      </c>
      <c r="BM76">
        <f>BK76-(BL75-BL76)</f>
        <v/>
      </c>
      <c r="BN76">
        <f>MAX(0,BM76*(1+$K$25)-$L$25)</f>
        <v/>
      </c>
      <c r="BO76">
        <f>BO75-MIN(BO75,BN76)</f>
        <v/>
      </c>
      <c r="BP76">
        <f>BN76-(BO75-BO76)</f>
        <v/>
      </c>
      <c r="BQ76">
        <f>MAX(0,BP76*(1+$K$25)-$L$25)</f>
        <v/>
      </c>
      <c r="BR76">
        <f>BR75-MIN(BR75,BQ76)</f>
        <v/>
      </c>
      <c r="BS76">
        <f>BQ76-(BR75-BR76)</f>
        <v/>
      </c>
      <c r="BT76">
        <f>MAX(0,BS76*(1+$K$25)-$L$25)</f>
        <v/>
      </c>
      <c r="BU76">
        <f>BU75-MIN(BU75,BT76)</f>
        <v/>
      </c>
      <c r="BV76">
        <f>BT76-(BU75-BU76)</f>
        <v/>
      </c>
      <c r="BW76">
        <f>MAX(0,BV76*(1+$K$25)-$L$25)</f>
        <v/>
      </c>
      <c r="BX76">
        <f>BX75-MIN(BX75,BW76)</f>
        <v/>
      </c>
      <c r="BY76">
        <f>BW76-(BX75-BX76)</f>
        <v/>
      </c>
      <c r="BZ76">
        <f>MAX(0,BY76*(1+$K$25)-$L$25)</f>
        <v/>
      </c>
      <c r="CA76">
        <f>CA75-MIN(CA75,BZ76)</f>
        <v/>
      </c>
      <c r="CB76">
        <f>BZ76-(CA75-CA76)</f>
        <v/>
      </c>
      <c r="CC76">
        <f>MAX(0,CB76*(1+$K$25)-$L$25)</f>
        <v/>
      </c>
      <c r="CD76">
        <f>CD75-MIN(CD75,CC76)</f>
        <v/>
      </c>
      <c r="CE76">
        <f>CC76-(CD75-CD76)</f>
        <v/>
      </c>
      <c r="CF76">
        <f>MAX(0,CE76*(1+$K$25)-$L$25)</f>
        <v/>
      </c>
      <c r="CG76">
        <f>CG75-MIN(CG75,CF76)</f>
        <v/>
      </c>
      <c r="CH76">
        <f>CF76-(CG75-CG76)</f>
        <v/>
      </c>
      <c r="CI76">
        <f>MAX(0,CH76*(1+$K$25)-$L$25)</f>
        <v/>
      </c>
      <c r="CJ76">
        <f>CJ75-MIN(CJ75,CI76)</f>
        <v/>
      </c>
      <c r="CK76">
        <f>CI76-(CJ75-CJ76)</f>
        <v/>
      </c>
      <c r="CL76">
        <f>MAX(0,CK76*(1+$K$25)-$L$25)</f>
        <v/>
      </c>
      <c r="CM76">
        <f>CM75-MIN(CM75,CL76)</f>
        <v/>
      </c>
      <c r="CN76">
        <f>CL76-(CM75-CM76)</f>
        <v/>
      </c>
      <c r="CO76">
        <f>MAX(0,CN76*(1+$K$25)-$L$25)</f>
        <v/>
      </c>
      <c r="CP76">
        <f>CP75-MIN(CP75,CO76)</f>
        <v/>
      </c>
      <c r="CQ76">
        <f>CO76-(CP75-CP76)</f>
        <v/>
      </c>
      <c r="CR76">
        <f>MAX(0,CQ76*(1+$K$25)-$L$25)</f>
        <v/>
      </c>
      <c r="CS76">
        <f>CS75-MIN(CS75,CR76)</f>
        <v/>
      </c>
      <c r="CT76">
        <f>CR76-(CS75-CS76)</f>
        <v/>
      </c>
      <c r="CU76">
        <f>MAX(0,CT76*(1+$K$25)-$L$25)</f>
        <v/>
      </c>
      <c r="CV76">
        <f>CV75-MIN(CV75,CU76)</f>
        <v/>
      </c>
      <c r="CW76">
        <f>CU76-(CV75-CV76)</f>
        <v/>
      </c>
      <c r="CX76">
        <f>MAX(0,CW76*(1+$K$25)-$L$25)</f>
        <v/>
      </c>
      <c r="CY76">
        <f>CY75-MIN(CY75,CX76)</f>
        <v/>
      </c>
      <c r="CZ76">
        <f>CX76-(CY75-CY76)</f>
        <v/>
      </c>
      <c r="DA76">
        <f>MAX(0,CZ76*(1+$K$25)-$L$25)</f>
        <v/>
      </c>
      <c r="DB76">
        <f>DB75-MIN(DB75,DA76)</f>
        <v/>
      </c>
      <c r="DC76">
        <f>DA76-(DB75-DB76)</f>
        <v/>
      </c>
      <c r="DD76">
        <f>MAX(0,DC76*(1+$K$25)-$L$25)</f>
        <v/>
      </c>
      <c r="DE76">
        <f>DE75-MIN(DE75,DD76)</f>
        <v/>
      </c>
      <c r="DF76">
        <f>DD76-(DE75-DE76)</f>
        <v/>
      </c>
      <c r="DG76">
        <f>MAX(0,DF76*(1+$K$25)-$L$25)</f>
        <v/>
      </c>
      <c r="DH76">
        <f>DH75-MIN(DH75,DG76)</f>
        <v/>
      </c>
      <c r="DI76">
        <f>DG76-(DH75-DH76)</f>
        <v/>
      </c>
      <c r="DJ76">
        <f>MAX(0,DI76*(1+$K$25)-$L$25)</f>
        <v/>
      </c>
      <c r="DK76">
        <f>DK75-MIN(DK75,DJ76)</f>
        <v/>
      </c>
      <c r="DL76">
        <f>DJ76-(DK75-DK76)</f>
        <v/>
      </c>
      <c r="DM76">
        <f>MAX(0,DL76*(1+$K$25)-$L$25)</f>
        <v/>
      </c>
      <c r="DN76">
        <f>DN75-MIN(DN75,DM76)</f>
        <v/>
      </c>
      <c r="DO76">
        <f>DM76-(DN75-DN76)</f>
        <v/>
      </c>
      <c r="DP76">
        <f>MAX(0,DO76*(1+$K$25)-$L$25)</f>
        <v/>
      </c>
      <c r="DQ76">
        <f>DQ75-MIN(DQ75,DP76)</f>
        <v/>
      </c>
      <c r="DR76">
        <f>DP76-(DQ75-DQ76)</f>
        <v/>
      </c>
      <c r="DS76">
        <f>MAX(0,DR76*(1+$K$25)-$L$25)</f>
        <v/>
      </c>
      <c r="DT76">
        <f>DT75-MIN(DT75,DS76)</f>
        <v/>
      </c>
      <c r="DU76">
        <f>DS76-(DT75-DT76)</f>
        <v/>
      </c>
      <c r="DV76">
        <f>MAX(0,DU76*(1+$K$25)-$L$25)</f>
        <v/>
      </c>
      <c r="DW76">
        <f>DW75-MIN(DW75,DV76)</f>
        <v/>
      </c>
      <c r="DX76">
        <f>DV76-(DW75-DW76)</f>
        <v/>
      </c>
      <c r="DY76">
        <f>MAX(0,DX76*(1+$K$25)-$L$25)</f>
        <v/>
      </c>
      <c r="DZ76">
        <f>DZ75-MIN(DZ75,DY76)</f>
        <v/>
      </c>
      <c r="EA76">
        <f>DY76-(DZ75-DZ76)</f>
        <v/>
      </c>
      <c r="EB76">
        <f>MAX(0,EA76*(1+$K$25)-$L$25)</f>
        <v/>
      </c>
      <c r="EC76">
        <f>EC75-MIN(EC75,EB76)</f>
        <v/>
      </c>
      <c r="ED76">
        <f>EB76-(EC75-EC76)</f>
        <v/>
      </c>
      <c r="EE76">
        <f>MAX(0,ED76*(1+$K$25)-$L$25)</f>
        <v/>
      </c>
      <c r="EF76">
        <f>EF75-MIN(EF75,EE76)</f>
        <v/>
      </c>
      <c r="EG76">
        <f>EE76-(EF75-EF76)</f>
        <v/>
      </c>
      <c r="EH76">
        <f>MAX(0,EG76*(1+$K$25)-$L$25)</f>
        <v/>
      </c>
      <c r="EI76">
        <f>EI75-MIN(EI75,EH76)</f>
        <v/>
      </c>
      <c r="EJ76">
        <f>EH76-(EI75-EI76)</f>
        <v/>
      </c>
      <c r="EK76">
        <f>MAX(0,EJ76*(1+$K$25)-$L$25)</f>
        <v/>
      </c>
      <c r="EL76">
        <f>EL75-MIN(EL75,EK76)</f>
        <v/>
      </c>
      <c r="EM76">
        <f>EK76-(EL75-EL76)</f>
        <v/>
      </c>
      <c r="EN76">
        <f>MAX(0,EM76*(1+$K$25)-$L$25)</f>
        <v/>
      </c>
      <c r="EO76">
        <f>EO75-MIN(EO75,EN76)</f>
        <v/>
      </c>
      <c r="EP76">
        <f>EN76-(EO75-EO76)</f>
        <v/>
      </c>
      <c r="EQ76">
        <f>MAX(0,EP76*(1+$K$25)-$L$25)</f>
        <v/>
      </c>
      <c r="ER76">
        <f>ER75-MIN(ER75,EQ76)</f>
        <v/>
      </c>
      <c r="ES76">
        <f>EQ76-(ER75-ER76)</f>
        <v/>
      </c>
      <c r="ET76">
        <f>MAX(0,ES76*(1+$K$25)-$L$25)</f>
        <v/>
      </c>
      <c r="EU76">
        <f>EU75-MIN(EU75,ET76)</f>
        <v/>
      </c>
      <c r="EV76">
        <f>ET76-(EU75-EU76)</f>
        <v/>
      </c>
      <c r="EW76">
        <f>MAX(0,EV76*(1+$K$25)-$L$25)</f>
        <v/>
      </c>
      <c r="EX76">
        <f>EX75-MIN(EX75,EW76)</f>
        <v/>
      </c>
      <c r="EY76">
        <f>EW76-(EX75-EX76)</f>
        <v/>
      </c>
      <c r="EZ76">
        <f>MAX(0,EY76*(1+$K$25)-$L$25)</f>
        <v/>
      </c>
      <c r="FA76">
        <f>FA75-MIN(FA75,EZ76)</f>
        <v/>
      </c>
      <c r="FB76">
        <f>EZ76-(FA75-FA76)</f>
        <v/>
      </c>
      <c r="FC76">
        <f>MAX(0,FB76*(1+$K$25)-$L$25)</f>
        <v/>
      </c>
      <c r="FD76">
        <f>FD75-MIN(FD75,FC76)</f>
        <v/>
      </c>
      <c r="FE76">
        <f>FC76-(FD75-FD76)</f>
        <v/>
      </c>
      <c r="FF76">
        <f>MAX(0,FE76*(1+$K$25)-$L$25)</f>
        <v/>
      </c>
      <c r="FG76">
        <f>FG75-MIN(FG75,FF76)</f>
        <v/>
      </c>
      <c r="FH76">
        <f>FF76-(FG75-FG76)</f>
        <v/>
      </c>
      <c r="FI76">
        <f>MAX(0,FH76*(1+$K$25)-$L$25)</f>
        <v/>
      </c>
      <c r="FJ76">
        <f>FJ75-MIN(FJ75,FI76)</f>
        <v/>
      </c>
      <c r="FK76">
        <f>FI76-(FJ75-FJ76)</f>
        <v/>
      </c>
      <c r="FL76">
        <f>MAX(0,FK76*(1+$K$25)-$L$25)</f>
        <v/>
      </c>
      <c r="FM76">
        <f>FM75-MIN(FM75,FL76)</f>
        <v/>
      </c>
      <c r="FN76">
        <f>FL76-(FM75-FM76)</f>
        <v/>
      </c>
      <c r="FO76">
        <f>MAX(0,FN76*(1+$K$25)-$L$25)</f>
        <v/>
      </c>
      <c r="FP76">
        <f>FP75-MIN(FP75,FO76)</f>
        <v/>
      </c>
      <c r="FQ76">
        <f>FO76-(FP75-FP76)</f>
        <v/>
      </c>
      <c r="FR76">
        <f>MAX(0,FQ76*(1+$K$25)-$L$25)</f>
        <v/>
      </c>
      <c r="FS76">
        <f>FS75-MIN(FS75,FR76)</f>
        <v/>
      </c>
      <c r="FT76">
        <f>FR76-(FS75-FS76)</f>
        <v/>
      </c>
      <c r="FU76">
        <f>MAX(0,FT76*(1+$K$25)-$L$25)</f>
        <v/>
      </c>
      <c r="FV76">
        <f>FV75-MIN(FV75,FU76)</f>
        <v/>
      </c>
      <c r="FW76">
        <f>FU76-(FV75-FV76)</f>
        <v/>
      </c>
      <c r="FX76">
        <f>MAX(0,FW76*(1+$K$25)-$L$25)</f>
        <v/>
      </c>
      <c r="FY76">
        <f>FY75-MIN(FY75,FX76)</f>
        <v/>
      </c>
      <c r="FZ76">
        <f>FX76-(FY75-FY76)</f>
        <v/>
      </c>
      <c r="GA76">
        <f>MAX(0,FZ76*(1+$K$25)-$L$25)</f>
        <v/>
      </c>
      <c r="GB76">
        <f>GB75-MIN(GB75,GA76)</f>
        <v/>
      </c>
      <c r="GC76">
        <f>GA76-(GB75-GB76)</f>
        <v/>
      </c>
      <c r="GD76">
        <f>MAX(0,GC76*(1+$K$25)-$L$25)</f>
        <v/>
      </c>
      <c r="GE76">
        <f>GE75-MIN(GE75,GD76)</f>
        <v/>
      </c>
      <c r="GF76">
        <f>GD76-(GE75-GE76)</f>
        <v/>
      </c>
      <c r="GG76">
        <f>MAX(0,GF76*(1+$K$25)-$L$25)</f>
        <v/>
      </c>
      <c r="GH76">
        <f>GH75-MIN(GH75,GG76)</f>
        <v/>
      </c>
      <c r="GI76">
        <f>GG76-(GH75-GH76)</f>
        <v/>
      </c>
      <c r="GJ76">
        <f>MAX(0,GI76*(1+$K$25)-$L$25)</f>
        <v/>
      </c>
      <c r="GK76">
        <f>GK75-MIN(GK75,GJ76)</f>
        <v/>
      </c>
      <c r="GL76">
        <f>GJ76-(GK75-GK76)</f>
        <v/>
      </c>
      <c r="GM76">
        <f>MAX(0,GL76*(1+$K$25)-$L$25)</f>
        <v/>
      </c>
      <c r="GN76">
        <f>GN75-MIN(GN75,GM76)</f>
        <v/>
      </c>
      <c r="GO76">
        <f>GM76-(GN75-GN76)</f>
        <v/>
      </c>
      <c r="GP76">
        <f>MAX(0,GO76*(1+$K$25)-$L$25)</f>
        <v/>
      </c>
      <c r="GQ76">
        <f>GQ75-MIN(GQ75,GP76)</f>
        <v/>
      </c>
      <c r="GR76">
        <f>GP76-(GQ75-GQ76)</f>
        <v/>
      </c>
      <c r="GS76">
        <f>MAX(0,GR76*(1+$K$25)-$L$25)</f>
        <v/>
      </c>
      <c r="GT76">
        <f>GT75-MIN(GT75,GS76)</f>
        <v/>
      </c>
      <c r="GU76">
        <f>GS76-(GT75-GT76)</f>
        <v/>
      </c>
      <c r="GV76">
        <f>MAX(0,GU76*(1+$K$25)-$L$25)</f>
        <v/>
      </c>
      <c r="GW76">
        <f>GW75-MIN(GW75,GV76)</f>
        <v/>
      </c>
      <c r="GX76">
        <f>GV76-(GW75-GW76)</f>
        <v/>
      </c>
      <c r="GY76">
        <f>MAX(0,GX76*(1+$K$25)-$L$25)</f>
        <v/>
      </c>
      <c r="GZ76">
        <f>GZ75-MIN(GZ75,GY76)</f>
        <v/>
      </c>
      <c r="HA76">
        <f>GY76-(GZ75-GZ76)</f>
        <v/>
      </c>
      <c r="HB76">
        <f>MAX(0,HA76*(1+$K$25)-$L$25)</f>
        <v/>
      </c>
      <c r="HC76">
        <f>HC75-MIN(HC75,HB76)</f>
        <v/>
      </c>
      <c r="HD76">
        <f>HB76-(HC75-HC76)</f>
        <v/>
      </c>
      <c r="HE76">
        <f>MAX(0,HD76*(1+$K$25)-$L$25)</f>
        <v/>
      </c>
      <c r="HF76">
        <f>HF75-MIN(HF75,HE76)</f>
        <v/>
      </c>
      <c r="HG76">
        <f>HE76-(HF75-HF76)</f>
        <v/>
      </c>
      <c r="HH76">
        <f>MAX(0,HG76*(1+$K$25)-$L$25)</f>
        <v/>
      </c>
      <c r="HI76">
        <f>HI75-MIN(HI75,HH76)</f>
        <v/>
      </c>
      <c r="HJ76">
        <f>HH76-(HI75-HI76)</f>
        <v/>
      </c>
      <c r="HK76">
        <f>MAX(0,HJ76*(1+$K$25)-$L$25)</f>
        <v/>
      </c>
      <c r="HL76">
        <f>HL75-MIN(HL75,HK76)</f>
        <v/>
      </c>
      <c r="HM76">
        <f>HK76-(HL75-HL76)</f>
        <v/>
      </c>
      <c r="HN76">
        <f>MAX(0,HM76*(1+$K$25)-$L$25)</f>
        <v/>
      </c>
      <c r="HO76">
        <f>HO75-MIN(HO75,HN76)</f>
        <v/>
      </c>
      <c r="HP76">
        <f>HN76-(HO75-HO76)</f>
        <v/>
      </c>
      <c r="HQ76">
        <f>MAX(0,HP76*(1+$K$25)-$L$25)</f>
        <v/>
      </c>
      <c r="HR76">
        <f>HR75-MIN(HR75,HQ76)</f>
        <v/>
      </c>
      <c r="HS76">
        <f>HQ76-(HR75-HR76)</f>
        <v/>
      </c>
      <c r="HT76">
        <f>MAX(0,HS76*(1+$K$25)-$L$25)</f>
        <v/>
      </c>
      <c r="HU76">
        <f>HU75-MIN(HU75,HT76)</f>
        <v/>
      </c>
      <c r="HV76">
        <f>HT76-(HU75-HU76)</f>
        <v/>
      </c>
      <c r="HW76">
        <f>MAX(0,HV76*(1+$K$25)-$L$25)</f>
        <v/>
      </c>
      <c r="HX76">
        <f>HX75-MIN(HX75,HW76)</f>
        <v/>
      </c>
      <c r="HY76">
        <f>HW76-(HX75-HX76)</f>
        <v/>
      </c>
      <c r="HZ76">
        <f>MAX(0,HY76*(1+$K$25)-$L$25)</f>
        <v/>
      </c>
      <c r="IA76">
        <f>IA75-MIN(IA75,HZ76)</f>
        <v/>
      </c>
      <c r="IB76">
        <f>HZ76-(IA75-IA76)</f>
        <v/>
      </c>
      <c r="IC76">
        <f>MAX(0,IB76*(1+$K$25)-$L$25)</f>
        <v/>
      </c>
      <c r="ID76">
        <f>ID75-MIN(ID75,IC76)</f>
        <v/>
      </c>
      <c r="IE76">
        <f>IC76-(ID75-ID76)</f>
        <v/>
      </c>
      <c r="IF76">
        <f>MAX(0,IE76*(1+$K$25)-$L$25)</f>
        <v/>
      </c>
      <c r="IG76">
        <f>IG75-MIN(IG75,IF76)</f>
        <v/>
      </c>
      <c r="IH76">
        <f>IF76-(IG75-IG76)</f>
        <v/>
      </c>
      <c r="II76">
        <f>MAX(0,IH76*(1+$K$25)-$L$25)</f>
        <v/>
      </c>
      <c r="IJ76">
        <f>IJ75-MIN(IJ75,II76)</f>
        <v/>
      </c>
      <c r="IK76">
        <f>II76-(IJ75-IJ76)</f>
        <v/>
      </c>
      <c r="IL76">
        <f>MAX(0,IK76*(1+$K$25)-$L$25)</f>
        <v/>
      </c>
      <c r="IM76">
        <f>IM75-MIN(IM75,IL76)</f>
        <v/>
      </c>
      <c r="IN76">
        <f>IL76-(IM75-IM76)</f>
        <v/>
      </c>
      <c r="IO76">
        <f>MAX(0,IN76*(1+$K$25)-$L$25)</f>
        <v/>
      </c>
      <c r="IP76">
        <f>IP75-MIN(IP75,IO76)</f>
        <v/>
      </c>
      <c r="IQ76">
        <f>IO76-(IP75-IP76)</f>
        <v/>
      </c>
      <c r="IR76">
        <f>MAX(0,IQ76*(1+$K$25)-$L$25)</f>
        <v/>
      </c>
      <c r="IS76">
        <f>IS75-MIN(IS75,IR76)</f>
        <v/>
      </c>
      <c r="IT76">
        <f>IR76-(IS75-IS76)</f>
        <v/>
      </c>
      <c r="IU76">
        <f>MAX(0,IT76*(1+$K$25)-$L$25)</f>
        <v/>
      </c>
      <c r="IV76">
        <f>IV75-MIN(IV75,IU76)</f>
        <v/>
      </c>
      <c r="IW76">
        <f>IU76-(IV75-IV76)</f>
        <v/>
      </c>
      <c r="IX76">
        <f>MAX(0,IW76*(1+$K$25)-$L$25)</f>
        <v/>
      </c>
      <c r="IY76">
        <f>IY75-MIN(IY75,IX76)</f>
        <v/>
      </c>
      <c r="IZ76">
        <f>IX76-(IY75-IY76)</f>
        <v/>
      </c>
      <c r="JA76">
        <f>MAX(0,IZ76*(1+$K$25)-$L$25)</f>
        <v/>
      </c>
      <c r="JB76">
        <f>JB75-MIN(JB75,JA76)</f>
        <v/>
      </c>
      <c r="JC76">
        <f>JA76-(JB75-JB76)</f>
        <v/>
      </c>
      <c r="JD76">
        <f>MAX(0,JC76*(1+$K$25)-$L$25)</f>
        <v/>
      </c>
      <c r="JE76">
        <f>JE75-MIN(JE75,JD76)</f>
        <v/>
      </c>
      <c r="JF76">
        <f>JD76-(JE75-JE76)</f>
        <v/>
      </c>
      <c r="JG76">
        <f>MAX(0,JF76*(1+$K$25)-$L$25)</f>
        <v/>
      </c>
      <c r="JH76">
        <f>JH75-MIN(JH75,JG76)</f>
        <v/>
      </c>
      <c r="JI76">
        <f>JG76-(JH75-JH76)</f>
        <v/>
      </c>
      <c r="JJ76">
        <f>MAX(0,JI76*(1+$K$25)-$L$25)</f>
        <v/>
      </c>
      <c r="JK76">
        <f>JK75-MIN(JK75,JJ76)</f>
        <v/>
      </c>
      <c r="JL76">
        <f>JJ76-(JK75-JK76)</f>
        <v/>
      </c>
      <c r="JM76">
        <f>MAX(0,JL76*(1+$K$25)-$L$25)</f>
        <v/>
      </c>
      <c r="JN76">
        <f>JN75-MIN(JN75,JM76)</f>
        <v/>
      </c>
      <c r="JO76">
        <f>JM76-(JN75-JN76)</f>
        <v/>
      </c>
      <c r="JP76">
        <f>MAX(0,JO76*(1+$K$25)-$L$25)</f>
        <v/>
      </c>
      <c r="JQ76">
        <f>JQ75-MIN(JQ75,JP76)</f>
        <v/>
      </c>
      <c r="JR76">
        <f>JP76-(JQ75-JQ76)</f>
        <v/>
      </c>
      <c r="JS76">
        <f>MAX(0,JR76*(1+$K$25)-$L$25)</f>
        <v/>
      </c>
      <c r="JT76">
        <f>JT75-MIN(JT75,JS76)</f>
        <v/>
      </c>
      <c r="JU76">
        <f>JS76-(JT75-JT76)</f>
        <v/>
      </c>
      <c r="JV76">
        <f>MAX(0,JU76*(1+$K$25)-$L$25)</f>
        <v/>
      </c>
      <c r="JW76">
        <f>JW75-MIN(JW75,JV76)</f>
        <v/>
      </c>
      <c r="JX76">
        <f>JV76-(JW75-JW76)</f>
        <v/>
      </c>
      <c r="JY76">
        <f>MAX(0,JX76*(1+$K$25)-$L$25)</f>
        <v/>
      </c>
      <c r="JZ76">
        <f>JZ75-MIN(JZ75,JY76)</f>
        <v/>
      </c>
      <c r="KA76">
        <f>JY76-(JZ75-JZ76)</f>
        <v/>
      </c>
      <c r="KB76">
        <f>MAX(0,KA76*(1+$K$25)-$L$25)</f>
        <v/>
      </c>
      <c r="KC76">
        <f>KC75-MIN(KC75,KB76)</f>
        <v/>
      </c>
      <c r="KD76">
        <f>KB76-(KC75-KC76)</f>
        <v/>
      </c>
      <c r="KE76">
        <f>MAX(0,KD76*(1+$K$25)-$L$25)</f>
        <v/>
      </c>
      <c r="KF76">
        <f>KF75-MIN(KF75,KE76)</f>
        <v/>
      </c>
      <c r="KG76">
        <f>KE76-(KF75-KF76)</f>
        <v/>
      </c>
      <c r="KH76">
        <f>MAX(0,KG76*(1+$K$25)-$L$25)</f>
        <v/>
      </c>
      <c r="KI76">
        <f>KI75-MIN(KI75,KH76)</f>
        <v/>
      </c>
      <c r="KJ76">
        <f>KH76-(KI75-KI76)</f>
        <v/>
      </c>
      <c r="KK76">
        <f>MAX(0,KJ76*(1+$K$25)-$L$25)</f>
        <v/>
      </c>
      <c r="KL76">
        <f>KL75-MIN(KL75,KK76)</f>
        <v/>
      </c>
      <c r="KM76">
        <f>KK76-(KL75-KL76)</f>
        <v/>
      </c>
      <c r="KN76">
        <f>MAX(0,KM76*(1+$K$25)-$L$25)</f>
        <v/>
      </c>
      <c r="KO76">
        <f>KO75-MIN(KO75,KN76)</f>
        <v/>
      </c>
      <c r="KP76">
        <f>KN76-(KO75-KO76)</f>
        <v/>
      </c>
      <c r="KQ76">
        <f>MAX(0,KP76*(1+$K$25)-$L$25)</f>
        <v/>
      </c>
      <c r="KR76">
        <f>KR75-MIN(KR75,KQ76)</f>
        <v/>
      </c>
      <c r="KS76">
        <f>KQ76-(KR75-KR76)</f>
        <v/>
      </c>
      <c r="KT76">
        <f>MAX(0,KS76*(1+$K$25)-$L$25)</f>
        <v/>
      </c>
      <c r="KU76">
        <f>KU75-MIN(KU75,KT76)</f>
        <v/>
      </c>
      <c r="KV76">
        <f>KT76-(KU75-KU76)</f>
        <v/>
      </c>
      <c r="KW76">
        <f>MAX(0,KV76*(1+$K$25)-$L$25)</f>
        <v/>
      </c>
      <c r="KX76">
        <f>KX75-MIN(KX75,KW76)</f>
        <v/>
      </c>
      <c r="KY76">
        <f>KW76-(KX75-KX76)</f>
        <v/>
      </c>
      <c r="KZ76">
        <f>MAX(0,KY76*(1+$K$25)-$L$25)</f>
        <v/>
      </c>
      <c r="LA76">
        <f>LA75-MIN(LA75,KZ76)</f>
        <v/>
      </c>
      <c r="LB76">
        <f>KZ76-(LA75-LA76)</f>
        <v/>
      </c>
      <c r="LC76">
        <f>MAX(0,LB76*(1+$K$25)-$L$25)</f>
        <v/>
      </c>
      <c r="LD76">
        <f>LD75-MIN(LD75,LC76)</f>
        <v/>
      </c>
      <c r="LE76">
        <f>LC76-(LD75-LD76)</f>
        <v/>
      </c>
      <c r="LF76">
        <f>MAX(0,LE76*(1+$K$25)-$L$25)</f>
        <v/>
      </c>
      <c r="LG76">
        <f>LG75-MIN(LG75,LF76)</f>
        <v/>
      </c>
      <c r="LH76">
        <f>LF76-(LG75-LG76)</f>
        <v/>
      </c>
      <c r="LI76">
        <f>MAX(0,LH76*(1+$K$25)-$L$25)</f>
        <v/>
      </c>
      <c r="LJ76">
        <f>LJ75-MIN(LJ75,LI76)</f>
        <v/>
      </c>
      <c r="LK76">
        <f>LI76-(LJ75-LJ76)</f>
        <v/>
      </c>
      <c r="LL76">
        <f>MAX(0,LK76*(1+$K$25)-$L$25)</f>
        <v/>
      </c>
      <c r="LM76">
        <f>LM75-MIN(LM75,LL76)</f>
        <v/>
      </c>
      <c r="LN76">
        <f>LL76-(LM75-LM76)</f>
        <v/>
      </c>
      <c r="LO76">
        <f>MAX(0,LN76*(1+$K$25)-$L$25)</f>
        <v/>
      </c>
      <c r="LP76">
        <f>LP75-MIN(LP75,LO76)</f>
        <v/>
      </c>
      <c r="LQ76">
        <f>LO76-(LP75-LP76)</f>
        <v/>
      </c>
      <c r="LR76">
        <f>MAX(0,LQ76*(1+$K$25)-$L$25)</f>
        <v/>
      </c>
      <c r="LS76">
        <f>LS75-MIN(LS75,LR76)</f>
        <v/>
      </c>
      <c r="LT76">
        <f>LR76-(LS75-LS76)</f>
        <v/>
      </c>
      <c r="LU76">
        <f>MAX(0,LT76*(1+$K$25)-$L$25)</f>
        <v/>
      </c>
      <c r="LV76">
        <f>LV75-MIN(LV75,LU76)</f>
        <v/>
      </c>
      <c r="LW76">
        <f>LU76-(LV75-LV76)</f>
        <v/>
      </c>
      <c r="LX76">
        <f>MAX(0,LW76*(1+$K$25)-$L$25)</f>
        <v/>
      </c>
      <c r="LY76">
        <f>LY75-MIN(LY75,LX76)</f>
        <v/>
      </c>
      <c r="LZ76">
        <f>LX76-(LY75-LY76)</f>
        <v/>
      </c>
      <c r="MA76">
        <f>MAX(0,LZ76*(1+$K$25)-$L$25)</f>
        <v/>
      </c>
      <c r="MB76">
        <f>MB75-MIN(MB75,MA76)</f>
        <v/>
      </c>
      <c r="MC76">
        <f>MA76-(MB75-MB76)</f>
        <v/>
      </c>
      <c r="MD76">
        <f>MAX(0,MC76*(1+$K$25)-$L$25)</f>
        <v/>
      </c>
      <c r="ME76">
        <f>ME75-MIN(ME75,MD76)</f>
        <v/>
      </c>
      <c r="MF76">
        <f>MD76-(ME75-ME76)</f>
        <v/>
      </c>
      <c r="MG76">
        <f>MAX(0,MF76*(1+$K$25)-$L$25)</f>
        <v/>
      </c>
      <c r="MH76">
        <f>MH75-MIN(MH75,MG76)</f>
        <v/>
      </c>
      <c r="MI76">
        <f>MG76-(MH75-MH76)</f>
        <v/>
      </c>
      <c r="MJ76">
        <f>MAX(0,MI76*(1+$K$25)-$L$25)</f>
        <v/>
      </c>
      <c r="MK76">
        <f>MK75-MIN(MK75,MJ76)</f>
        <v/>
      </c>
      <c r="ML76">
        <f>MJ76-(MK75-MK76)</f>
        <v/>
      </c>
      <c r="MM76">
        <f>MAX(0,ML76*(1+$K$25)-$L$25)</f>
        <v/>
      </c>
      <c r="MN76">
        <f>MN75-MIN(MN75,MM76)</f>
        <v/>
      </c>
      <c r="MO76">
        <f>MM76-(MN75-MN76)</f>
        <v/>
      </c>
      <c r="MP76">
        <f>MAX(0,MO76*(1+$K$25)-$L$25)</f>
        <v/>
      </c>
      <c r="MQ76">
        <f>MQ75-MIN(MQ75,MP76)</f>
        <v/>
      </c>
      <c r="MR76">
        <f>MP76-(MQ75-MQ76)</f>
        <v/>
      </c>
      <c r="MS76">
        <f>MAX(0,MR76*(1+$K$25)-$L$25)</f>
        <v/>
      </c>
      <c r="MT76">
        <f>MT75-MIN(MT75,MS76)</f>
        <v/>
      </c>
      <c r="MU76">
        <f>MS76-(MT75-MT76)</f>
        <v/>
      </c>
      <c r="MV76">
        <f>MAX(0,MU76*(1+$K$25)-$L$25)</f>
        <v/>
      </c>
      <c r="MW76">
        <f>MW75-MIN(MW75,MV76)</f>
        <v/>
      </c>
      <c r="MX76">
        <f>MV76-(MW75-MW76)</f>
        <v/>
      </c>
    </row>
    <row r="77">
      <c r="A77" t="inlineStr">
        <is>
          <t>slot 3</t>
        </is>
      </c>
      <c r="B77">
        <f>J26</f>
        <v/>
      </c>
      <c r="C77">
        <f>MAX(0,B77*(1+$K$26)-$L$26)</f>
        <v/>
      </c>
      <c r="D77">
        <f>D76-MIN(D76,C77)</f>
        <v/>
      </c>
      <c r="E77">
        <f>C77-(D76-D77)</f>
        <v/>
      </c>
      <c r="F77">
        <f>MAX(0,E77*(1+$K$26)-$L$26)</f>
        <v/>
      </c>
      <c r="G77">
        <f>G76-MIN(G76,F77)</f>
        <v/>
      </c>
      <c r="H77">
        <f>F77-(G76-G77)</f>
        <v/>
      </c>
      <c r="I77">
        <f>MAX(0,H77*(1+$K$26)-$L$26)</f>
        <v/>
      </c>
      <c r="J77">
        <f>J76-MIN(J76,I77)</f>
        <v/>
      </c>
      <c r="K77">
        <f>I77-(J76-J77)</f>
        <v/>
      </c>
      <c r="L77">
        <f>MAX(0,K77*(1+$K$26)-$L$26)</f>
        <v/>
      </c>
      <c r="M77">
        <f>M76-MIN(M76,L77)</f>
        <v/>
      </c>
      <c r="N77">
        <f>L77-(M76-M77)</f>
        <v/>
      </c>
      <c r="O77">
        <f>MAX(0,N77*(1+$K$26)-$L$26)</f>
        <v/>
      </c>
      <c r="P77">
        <f>P76-MIN(P76,O77)</f>
        <v/>
      </c>
      <c r="Q77">
        <f>O77-(P76-P77)</f>
        <v/>
      </c>
      <c r="R77">
        <f>MAX(0,Q77*(1+$K$26)-$L$26)</f>
        <v/>
      </c>
      <c r="S77">
        <f>S76-MIN(S76,R77)</f>
        <v/>
      </c>
      <c r="T77">
        <f>R77-(S76-S77)</f>
        <v/>
      </c>
      <c r="U77">
        <f>MAX(0,T77*(1+$K$26)-$L$26)</f>
        <v/>
      </c>
      <c r="V77">
        <f>V76-MIN(V76,U77)</f>
        <v/>
      </c>
      <c r="W77">
        <f>U77-(V76-V77)</f>
        <v/>
      </c>
      <c r="X77">
        <f>MAX(0,W77*(1+$K$26)-$L$26)</f>
        <v/>
      </c>
      <c r="Y77">
        <f>Y76-MIN(Y76,X77)</f>
        <v/>
      </c>
      <c r="Z77">
        <f>X77-(Y76-Y77)</f>
        <v/>
      </c>
      <c r="AA77">
        <f>MAX(0,Z77*(1+$K$26)-$L$26)</f>
        <v/>
      </c>
      <c r="AB77">
        <f>AB76-MIN(AB76,AA77)</f>
        <v/>
      </c>
      <c r="AC77">
        <f>AA77-(AB76-AB77)</f>
        <v/>
      </c>
      <c r="AD77">
        <f>MAX(0,AC77*(1+$K$26)-$L$26)</f>
        <v/>
      </c>
      <c r="AE77">
        <f>AE76-MIN(AE76,AD77)</f>
        <v/>
      </c>
      <c r="AF77">
        <f>AD77-(AE76-AE77)</f>
        <v/>
      </c>
      <c r="AG77">
        <f>MAX(0,AF77*(1+$K$26)-$L$26)</f>
        <v/>
      </c>
      <c r="AH77">
        <f>AH76-MIN(AH76,AG77)</f>
        <v/>
      </c>
      <c r="AI77">
        <f>AG77-(AH76-AH77)</f>
        <v/>
      </c>
      <c r="AJ77">
        <f>MAX(0,AI77*(1+$K$26)-$L$26)</f>
        <v/>
      </c>
      <c r="AK77">
        <f>AK76-MIN(AK76,AJ77)</f>
        <v/>
      </c>
      <c r="AL77">
        <f>AJ77-(AK76-AK77)</f>
        <v/>
      </c>
      <c r="AM77">
        <f>MAX(0,AL77*(1+$K$26)-$L$26)</f>
        <v/>
      </c>
      <c r="AN77">
        <f>AN76-MIN(AN76,AM77)</f>
        <v/>
      </c>
      <c r="AO77">
        <f>AM77-(AN76-AN77)</f>
        <v/>
      </c>
      <c r="AP77">
        <f>MAX(0,AO77*(1+$K$26)-$L$26)</f>
        <v/>
      </c>
      <c r="AQ77">
        <f>AQ76-MIN(AQ76,AP77)</f>
        <v/>
      </c>
      <c r="AR77">
        <f>AP77-(AQ76-AQ77)</f>
        <v/>
      </c>
      <c r="AS77">
        <f>MAX(0,AR77*(1+$K$26)-$L$26)</f>
        <v/>
      </c>
      <c r="AT77">
        <f>AT76-MIN(AT76,AS77)</f>
        <v/>
      </c>
      <c r="AU77">
        <f>AS77-(AT76-AT77)</f>
        <v/>
      </c>
      <c r="AV77">
        <f>MAX(0,AU77*(1+$K$26)-$L$26)</f>
        <v/>
      </c>
      <c r="AW77">
        <f>AW76-MIN(AW76,AV77)</f>
        <v/>
      </c>
      <c r="AX77">
        <f>AV77-(AW76-AW77)</f>
        <v/>
      </c>
      <c r="AY77">
        <f>MAX(0,AX77*(1+$K$26)-$L$26)</f>
        <v/>
      </c>
      <c r="AZ77">
        <f>AZ76-MIN(AZ76,AY77)</f>
        <v/>
      </c>
      <c r="BA77">
        <f>AY77-(AZ76-AZ77)</f>
        <v/>
      </c>
      <c r="BB77">
        <f>MAX(0,BA77*(1+$K$26)-$L$26)</f>
        <v/>
      </c>
      <c r="BC77">
        <f>BC76-MIN(BC76,BB77)</f>
        <v/>
      </c>
      <c r="BD77">
        <f>BB77-(BC76-BC77)</f>
        <v/>
      </c>
      <c r="BE77">
        <f>MAX(0,BD77*(1+$K$26)-$L$26)</f>
        <v/>
      </c>
      <c r="BF77">
        <f>BF76-MIN(BF76,BE77)</f>
        <v/>
      </c>
      <c r="BG77">
        <f>BE77-(BF76-BF77)</f>
        <v/>
      </c>
      <c r="BH77">
        <f>MAX(0,BG77*(1+$K$26)-$L$26)</f>
        <v/>
      </c>
      <c r="BI77">
        <f>BI76-MIN(BI76,BH77)</f>
        <v/>
      </c>
      <c r="BJ77">
        <f>BH77-(BI76-BI77)</f>
        <v/>
      </c>
      <c r="BK77">
        <f>MAX(0,BJ77*(1+$K$26)-$L$26)</f>
        <v/>
      </c>
      <c r="BL77">
        <f>BL76-MIN(BL76,BK77)</f>
        <v/>
      </c>
      <c r="BM77">
        <f>BK77-(BL76-BL77)</f>
        <v/>
      </c>
      <c r="BN77">
        <f>MAX(0,BM77*(1+$K$26)-$L$26)</f>
        <v/>
      </c>
      <c r="BO77">
        <f>BO76-MIN(BO76,BN77)</f>
        <v/>
      </c>
      <c r="BP77">
        <f>BN77-(BO76-BO77)</f>
        <v/>
      </c>
      <c r="BQ77">
        <f>MAX(0,BP77*(1+$K$26)-$L$26)</f>
        <v/>
      </c>
      <c r="BR77">
        <f>BR76-MIN(BR76,BQ77)</f>
        <v/>
      </c>
      <c r="BS77">
        <f>BQ77-(BR76-BR77)</f>
        <v/>
      </c>
      <c r="BT77">
        <f>MAX(0,BS77*(1+$K$26)-$L$26)</f>
        <v/>
      </c>
      <c r="BU77">
        <f>BU76-MIN(BU76,BT77)</f>
        <v/>
      </c>
      <c r="BV77">
        <f>BT77-(BU76-BU77)</f>
        <v/>
      </c>
      <c r="BW77">
        <f>MAX(0,BV77*(1+$K$26)-$L$26)</f>
        <v/>
      </c>
      <c r="BX77">
        <f>BX76-MIN(BX76,BW77)</f>
        <v/>
      </c>
      <c r="BY77">
        <f>BW77-(BX76-BX77)</f>
        <v/>
      </c>
      <c r="BZ77">
        <f>MAX(0,BY77*(1+$K$26)-$L$26)</f>
        <v/>
      </c>
      <c r="CA77">
        <f>CA76-MIN(CA76,BZ77)</f>
        <v/>
      </c>
      <c r="CB77">
        <f>BZ77-(CA76-CA77)</f>
        <v/>
      </c>
      <c r="CC77">
        <f>MAX(0,CB77*(1+$K$26)-$L$26)</f>
        <v/>
      </c>
      <c r="CD77">
        <f>CD76-MIN(CD76,CC77)</f>
        <v/>
      </c>
      <c r="CE77">
        <f>CC77-(CD76-CD77)</f>
        <v/>
      </c>
      <c r="CF77">
        <f>MAX(0,CE77*(1+$K$26)-$L$26)</f>
        <v/>
      </c>
      <c r="CG77">
        <f>CG76-MIN(CG76,CF77)</f>
        <v/>
      </c>
      <c r="CH77">
        <f>CF77-(CG76-CG77)</f>
        <v/>
      </c>
      <c r="CI77">
        <f>MAX(0,CH77*(1+$K$26)-$L$26)</f>
        <v/>
      </c>
      <c r="CJ77">
        <f>CJ76-MIN(CJ76,CI77)</f>
        <v/>
      </c>
      <c r="CK77">
        <f>CI77-(CJ76-CJ77)</f>
        <v/>
      </c>
      <c r="CL77">
        <f>MAX(0,CK77*(1+$K$26)-$L$26)</f>
        <v/>
      </c>
      <c r="CM77">
        <f>CM76-MIN(CM76,CL77)</f>
        <v/>
      </c>
      <c r="CN77">
        <f>CL77-(CM76-CM77)</f>
        <v/>
      </c>
      <c r="CO77">
        <f>MAX(0,CN77*(1+$K$26)-$L$26)</f>
        <v/>
      </c>
      <c r="CP77">
        <f>CP76-MIN(CP76,CO77)</f>
        <v/>
      </c>
      <c r="CQ77">
        <f>CO77-(CP76-CP77)</f>
        <v/>
      </c>
      <c r="CR77">
        <f>MAX(0,CQ77*(1+$K$26)-$L$26)</f>
        <v/>
      </c>
      <c r="CS77">
        <f>CS76-MIN(CS76,CR77)</f>
        <v/>
      </c>
      <c r="CT77">
        <f>CR77-(CS76-CS77)</f>
        <v/>
      </c>
      <c r="CU77">
        <f>MAX(0,CT77*(1+$K$26)-$L$26)</f>
        <v/>
      </c>
      <c r="CV77">
        <f>CV76-MIN(CV76,CU77)</f>
        <v/>
      </c>
      <c r="CW77">
        <f>CU77-(CV76-CV77)</f>
        <v/>
      </c>
      <c r="CX77">
        <f>MAX(0,CW77*(1+$K$26)-$L$26)</f>
        <v/>
      </c>
      <c r="CY77">
        <f>CY76-MIN(CY76,CX77)</f>
        <v/>
      </c>
      <c r="CZ77">
        <f>CX77-(CY76-CY77)</f>
        <v/>
      </c>
      <c r="DA77">
        <f>MAX(0,CZ77*(1+$K$26)-$L$26)</f>
        <v/>
      </c>
      <c r="DB77">
        <f>DB76-MIN(DB76,DA77)</f>
        <v/>
      </c>
      <c r="DC77">
        <f>DA77-(DB76-DB77)</f>
        <v/>
      </c>
      <c r="DD77">
        <f>MAX(0,DC77*(1+$K$26)-$L$26)</f>
        <v/>
      </c>
      <c r="DE77">
        <f>DE76-MIN(DE76,DD77)</f>
        <v/>
      </c>
      <c r="DF77">
        <f>DD77-(DE76-DE77)</f>
        <v/>
      </c>
      <c r="DG77">
        <f>MAX(0,DF77*(1+$K$26)-$L$26)</f>
        <v/>
      </c>
      <c r="DH77">
        <f>DH76-MIN(DH76,DG77)</f>
        <v/>
      </c>
      <c r="DI77">
        <f>DG77-(DH76-DH77)</f>
        <v/>
      </c>
      <c r="DJ77">
        <f>MAX(0,DI77*(1+$K$26)-$L$26)</f>
        <v/>
      </c>
      <c r="DK77">
        <f>DK76-MIN(DK76,DJ77)</f>
        <v/>
      </c>
      <c r="DL77">
        <f>DJ77-(DK76-DK77)</f>
        <v/>
      </c>
      <c r="DM77">
        <f>MAX(0,DL77*(1+$K$26)-$L$26)</f>
        <v/>
      </c>
      <c r="DN77">
        <f>DN76-MIN(DN76,DM77)</f>
        <v/>
      </c>
      <c r="DO77">
        <f>DM77-(DN76-DN77)</f>
        <v/>
      </c>
      <c r="DP77">
        <f>MAX(0,DO77*(1+$K$26)-$L$26)</f>
        <v/>
      </c>
      <c r="DQ77">
        <f>DQ76-MIN(DQ76,DP77)</f>
        <v/>
      </c>
      <c r="DR77">
        <f>DP77-(DQ76-DQ77)</f>
        <v/>
      </c>
      <c r="DS77">
        <f>MAX(0,DR77*(1+$K$26)-$L$26)</f>
        <v/>
      </c>
      <c r="DT77">
        <f>DT76-MIN(DT76,DS77)</f>
        <v/>
      </c>
      <c r="DU77">
        <f>DS77-(DT76-DT77)</f>
        <v/>
      </c>
      <c r="DV77">
        <f>MAX(0,DU77*(1+$K$26)-$L$26)</f>
        <v/>
      </c>
      <c r="DW77">
        <f>DW76-MIN(DW76,DV77)</f>
        <v/>
      </c>
      <c r="DX77">
        <f>DV77-(DW76-DW77)</f>
        <v/>
      </c>
      <c r="DY77">
        <f>MAX(0,DX77*(1+$K$26)-$L$26)</f>
        <v/>
      </c>
      <c r="DZ77">
        <f>DZ76-MIN(DZ76,DY77)</f>
        <v/>
      </c>
      <c r="EA77">
        <f>DY77-(DZ76-DZ77)</f>
        <v/>
      </c>
      <c r="EB77">
        <f>MAX(0,EA77*(1+$K$26)-$L$26)</f>
        <v/>
      </c>
      <c r="EC77">
        <f>EC76-MIN(EC76,EB77)</f>
        <v/>
      </c>
      <c r="ED77">
        <f>EB77-(EC76-EC77)</f>
        <v/>
      </c>
      <c r="EE77">
        <f>MAX(0,ED77*(1+$K$26)-$L$26)</f>
        <v/>
      </c>
      <c r="EF77">
        <f>EF76-MIN(EF76,EE77)</f>
        <v/>
      </c>
      <c r="EG77">
        <f>EE77-(EF76-EF77)</f>
        <v/>
      </c>
      <c r="EH77">
        <f>MAX(0,EG77*(1+$K$26)-$L$26)</f>
        <v/>
      </c>
      <c r="EI77">
        <f>EI76-MIN(EI76,EH77)</f>
        <v/>
      </c>
      <c r="EJ77">
        <f>EH77-(EI76-EI77)</f>
        <v/>
      </c>
      <c r="EK77">
        <f>MAX(0,EJ77*(1+$K$26)-$L$26)</f>
        <v/>
      </c>
      <c r="EL77">
        <f>EL76-MIN(EL76,EK77)</f>
        <v/>
      </c>
      <c r="EM77">
        <f>EK77-(EL76-EL77)</f>
        <v/>
      </c>
      <c r="EN77">
        <f>MAX(0,EM77*(1+$K$26)-$L$26)</f>
        <v/>
      </c>
      <c r="EO77">
        <f>EO76-MIN(EO76,EN77)</f>
        <v/>
      </c>
      <c r="EP77">
        <f>EN77-(EO76-EO77)</f>
        <v/>
      </c>
      <c r="EQ77">
        <f>MAX(0,EP77*(1+$K$26)-$L$26)</f>
        <v/>
      </c>
      <c r="ER77">
        <f>ER76-MIN(ER76,EQ77)</f>
        <v/>
      </c>
      <c r="ES77">
        <f>EQ77-(ER76-ER77)</f>
        <v/>
      </c>
      <c r="ET77">
        <f>MAX(0,ES77*(1+$K$26)-$L$26)</f>
        <v/>
      </c>
      <c r="EU77">
        <f>EU76-MIN(EU76,ET77)</f>
        <v/>
      </c>
      <c r="EV77">
        <f>ET77-(EU76-EU77)</f>
        <v/>
      </c>
      <c r="EW77">
        <f>MAX(0,EV77*(1+$K$26)-$L$26)</f>
        <v/>
      </c>
      <c r="EX77">
        <f>EX76-MIN(EX76,EW77)</f>
        <v/>
      </c>
      <c r="EY77">
        <f>EW77-(EX76-EX77)</f>
        <v/>
      </c>
      <c r="EZ77">
        <f>MAX(0,EY77*(1+$K$26)-$L$26)</f>
        <v/>
      </c>
      <c r="FA77">
        <f>FA76-MIN(FA76,EZ77)</f>
        <v/>
      </c>
      <c r="FB77">
        <f>EZ77-(FA76-FA77)</f>
        <v/>
      </c>
      <c r="FC77">
        <f>MAX(0,FB77*(1+$K$26)-$L$26)</f>
        <v/>
      </c>
      <c r="FD77">
        <f>FD76-MIN(FD76,FC77)</f>
        <v/>
      </c>
      <c r="FE77">
        <f>FC77-(FD76-FD77)</f>
        <v/>
      </c>
      <c r="FF77">
        <f>MAX(0,FE77*(1+$K$26)-$L$26)</f>
        <v/>
      </c>
      <c r="FG77">
        <f>FG76-MIN(FG76,FF77)</f>
        <v/>
      </c>
      <c r="FH77">
        <f>FF77-(FG76-FG77)</f>
        <v/>
      </c>
      <c r="FI77">
        <f>MAX(0,FH77*(1+$K$26)-$L$26)</f>
        <v/>
      </c>
      <c r="FJ77">
        <f>FJ76-MIN(FJ76,FI77)</f>
        <v/>
      </c>
      <c r="FK77">
        <f>FI77-(FJ76-FJ77)</f>
        <v/>
      </c>
      <c r="FL77">
        <f>MAX(0,FK77*(1+$K$26)-$L$26)</f>
        <v/>
      </c>
      <c r="FM77">
        <f>FM76-MIN(FM76,FL77)</f>
        <v/>
      </c>
      <c r="FN77">
        <f>FL77-(FM76-FM77)</f>
        <v/>
      </c>
      <c r="FO77">
        <f>MAX(0,FN77*(1+$K$26)-$L$26)</f>
        <v/>
      </c>
      <c r="FP77">
        <f>FP76-MIN(FP76,FO77)</f>
        <v/>
      </c>
      <c r="FQ77">
        <f>FO77-(FP76-FP77)</f>
        <v/>
      </c>
      <c r="FR77">
        <f>MAX(0,FQ77*(1+$K$26)-$L$26)</f>
        <v/>
      </c>
      <c r="FS77">
        <f>FS76-MIN(FS76,FR77)</f>
        <v/>
      </c>
      <c r="FT77">
        <f>FR77-(FS76-FS77)</f>
        <v/>
      </c>
      <c r="FU77">
        <f>MAX(0,FT77*(1+$K$26)-$L$26)</f>
        <v/>
      </c>
      <c r="FV77">
        <f>FV76-MIN(FV76,FU77)</f>
        <v/>
      </c>
      <c r="FW77">
        <f>FU77-(FV76-FV77)</f>
        <v/>
      </c>
      <c r="FX77">
        <f>MAX(0,FW77*(1+$K$26)-$L$26)</f>
        <v/>
      </c>
      <c r="FY77">
        <f>FY76-MIN(FY76,FX77)</f>
        <v/>
      </c>
      <c r="FZ77">
        <f>FX77-(FY76-FY77)</f>
        <v/>
      </c>
      <c r="GA77">
        <f>MAX(0,FZ77*(1+$K$26)-$L$26)</f>
        <v/>
      </c>
      <c r="GB77">
        <f>GB76-MIN(GB76,GA77)</f>
        <v/>
      </c>
      <c r="GC77">
        <f>GA77-(GB76-GB77)</f>
        <v/>
      </c>
      <c r="GD77">
        <f>MAX(0,GC77*(1+$K$26)-$L$26)</f>
        <v/>
      </c>
      <c r="GE77">
        <f>GE76-MIN(GE76,GD77)</f>
        <v/>
      </c>
      <c r="GF77">
        <f>GD77-(GE76-GE77)</f>
        <v/>
      </c>
      <c r="GG77">
        <f>MAX(0,GF77*(1+$K$26)-$L$26)</f>
        <v/>
      </c>
      <c r="GH77">
        <f>GH76-MIN(GH76,GG77)</f>
        <v/>
      </c>
      <c r="GI77">
        <f>GG77-(GH76-GH77)</f>
        <v/>
      </c>
      <c r="GJ77">
        <f>MAX(0,GI77*(1+$K$26)-$L$26)</f>
        <v/>
      </c>
      <c r="GK77">
        <f>GK76-MIN(GK76,GJ77)</f>
        <v/>
      </c>
      <c r="GL77">
        <f>GJ77-(GK76-GK77)</f>
        <v/>
      </c>
      <c r="GM77">
        <f>MAX(0,GL77*(1+$K$26)-$L$26)</f>
        <v/>
      </c>
      <c r="GN77">
        <f>GN76-MIN(GN76,GM77)</f>
        <v/>
      </c>
      <c r="GO77">
        <f>GM77-(GN76-GN77)</f>
        <v/>
      </c>
      <c r="GP77">
        <f>MAX(0,GO77*(1+$K$26)-$L$26)</f>
        <v/>
      </c>
      <c r="GQ77">
        <f>GQ76-MIN(GQ76,GP77)</f>
        <v/>
      </c>
      <c r="GR77">
        <f>GP77-(GQ76-GQ77)</f>
        <v/>
      </c>
      <c r="GS77">
        <f>MAX(0,GR77*(1+$K$26)-$L$26)</f>
        <v/>
      </c>
      <c r="GT77">
        <f>GT76-MIN(GT76,GS77)</f>
        <v/>
      </c>
      <c r="GU77">
        <f>GS77-(GT76-GT77)</f>
        <v/>
      </c>
      <c r="GV77">
        <f>MAX(0,GU77*(1+$K$26)-$L$26)</f>
        <v/>
      </c>
      <c r="GW77">
        <f>GW76-MIN(GW76,GV77)</f>
        <v/>
      </c>
      <c r="GX77">
        <f>GV77-(GW76-GW77)</f>
        <v/>
      </c>
      <c r="GY77">
        <f>MAX(0,GX77*(1+$K$26)-$L$26)</f>
        <v/>
      </c>
      <c r="GZ77">
        <f>GZ76-MIN(GZ76,GY77)</f>
        <v/>
      </c>
      <c r="HA77">
        <f>GY77-(GZ76-GZ77)</f>
        <v/>
      </c>
      <c r="HB77">
        <f>MAX(0,HA77*(1+$K$26)-$L$26)</f>
        <v/>
      </c>
      <c r="HC77">
        <f>HC76-MIN(HC76,HB77)</f>
        <v/>
      </c>
      <c r="HD77">
        <f>HB77-(HC76-HC77)</f>
        <v/>
      </c>
      <c r="HE77">
        <f>MAX(0,HD77*(1+$K$26)-$L$26)</f>
        <v/>
      </c>
      <c r="HF77">
        <f>HF76-MIN(HF76,HE77)</f>
        <v/>
      </c>
      <c r="HG77">
        <f>HE77-(HF76-HF77)</f>
        <v/>
      </c>
      <c r="HH77">
        <f>MAX(0,HG77*(1+$K$26)-$L$26)</f>
        <v/>
      </c>
      <c r="HI77">
        <f>HI76-MIN(HI76,HH77)</f>
        <v/>
      </c>
      <c r="HJ77">
        <f>HH77-(HI76-HI77)</f>
        <v/>
      </c>
      <c r="HK77">
        <f>MAX(0,HJ77*(1+$K$26)-$L$26)</f>
        <v/>
      </c>
      <c r="HL77">
        <f>HL76-MIN(HL76,HK77)</f>
        <v/>
      </c>
      <c r="HM77">
        <f>HK77-(HL76-HL77)</f>
        <v/>
      </c>
      <c r="HN77">
        <f>MAX(0,HM77*(1+$K$26)-$L$26)</f>
        <v/>
      </c>
      <c r="HO77">
        <f>HO76-MIN(HO76,HN77)</f>
        <v/>
      </c>
      <c r="HP77">
        <f>HN77-(HO76-HO77)</f>
        <v/>
      </c>
      <c r="HQ77">
        <f>MAX(0,HP77*(1+$K$26)-$L$26)</f>
        <v/>
      </c>
      <c r="HR77">
        <f>HR76-MIN(HR76,HQ77)</f>
        <v/>
      </c>
      <c r="HS77">
        <f>HQ77-(HR76-HR77)</f>
        <v/>
      </c>
      <c r="HT77">
        <f>MAX(0,HS77*(1+$K$26)-$L$26)</f>
        <v/>
      </c>
      <c r="HU77">
        <f>HU76-MIN(HU76,HT77)</f>
        <v/>
      </c>
      <c r="HV77">
        <f>HT77-(HU76-HU77)</f>
        <v/>
      </c>
      <c r="HW77">
        <f>MAX(0,HV77*(1+$K$26)-$L$26)</f>
        <v/>
      </c>
      <c r="HX77">
        <f>HX76-MIN(HX76,HW77)</f>
        <v/>
      </c>
      <c r="HY77">
        <f>HW77-(HX76-HX77)</f>
        <v/>
      </c>
      <c r="HZ77">
        <f>MAX(0,HY77*(1+$K$26)-$L$26)</f>
        <v/>
      </c>
      <c r="IA77">
        <f>IA76-MIN(IA76,HZ77)</f>
        <v/>
      </c>
      <c r="IB77">
        <f>HZ77-(IA76-IA77)</f>
        <v/>
      </c>
      <c r="IC77">
        <f>MAX(0,IB77*(1+$K$26)-$L$26)</f>
        <v/>
      </c>
      <c r="ID77">
        <f>ID76-MIN(ID76,IC77)</f>
        <v/>
      </c>
      <c r="IE77">
        <f>IC77-(ID76-ID77)</f>
        <v/>
      </c>
      <c r="IF77">
        <f>MAX(0,IE77*(1+$K$26)-$L$26)</f>
        <v/>
      </c>
      <c r="IG77">
        <f>IG76-MIN(IG76,IF77)</f>
        <v/>
      </c>
      <c r="IH77">
        <f>IF77-(IG76-IG77)</f>
        <v/>
      </c>
      <c r="II77">
        <f>MAX(0,IH77*(1+$K$26)-$L$26)</f>
        <v/>
      </c>
      <c r="IJ77">
        <f>IJ76-MIN(IJ76,II77)</f>
        <v/>
      </c>
      <c r="IK77">
        <f>II77-(IJ76-IJ77)</f>
        <v/>
      </c>
      <c r="IL77">
        <f>MAX(0,IK77*(1+$K$26)-$L$26)</f>
        <v/>
      </c>
      <c r="IM77">
        <f>IM76-MIN(IM76,IL77)</f>
        <v/>
      </c>
      <c r="IN77">
        <f>IL77-(IM76-IM77)</f>
        <v/>
      </c>
      <c r="IO77">
        <f>MAX(0,IN77*(1+$K$26)-$L$26)</f>
        <v/>
      </c>
      <c r="IP77">
        <f>IP76-MIN(IP76,IO77)</f>
        <v/>
      </c>
      <c r="IQ77">
        <f>IO77-(IP76-IP77)</f>
        <v/>
      </c>
      <c r="IR77">
        <f>MAX(0,IQ77*(1+$K$26)-$L$26)</f>
        <v/>
      </c>
      <c r="IS77">
        <f>IS76-MIN(IS76,IR77)</f>
        <v/>
      </c>
      <c r="IT77">
        <f>IR77-(IS76-IS77)</f>
        <v/>
      </c>
      <c r="IU77">
        <f>MAX(0,IT77*(1+$K$26)-$L$26)</f>
        <v/>
      </c>
      <c r="IV77">
        <f>IV76-MIN(IV76,IU77)</f>
        <v/>
      </c>
      <c r="IW77">
        <f>IU77-(IV76-IV77)</f>
        <v/>
      </c>
      <c r="IX77">
        <f>MAX(0,IW77*(1+$K$26)-$L$26)</f>
        <v/>
      </c>
      <c r="IY77">
        <f>IY76-MIN(IY76,IX77)</f>
        <v/>
      </c>
      <c r="IZ77">
        <f>IX77-(IY76-IY77)</f>
        <v/>
      </c>
      <c r="JA77">
        <f>MAX(0,IZ77*(1+$K$26)-$L$26)</f>
        <v/>
      </c>
      <c r="JB77">
        <f>JB76-MIN(JB76,JA77)</f>
        <v/>
      </c>
      <c r="JC77">
        <f>JA77-(JB76-JB77)</f>
        <v/>
      </c>
      <c r="JD77">
        <f>MAX(0,JC77*(1+$K$26)-$L$26)</f>
        <v/>
      </c>
      <c r="JE77">
        <f>JE76-MIN(JE76,JD77)</f>
        <v/>
      </c>
      <c r="JF77">
        <f>JD77-(JE76-JE77)</f>
        <v/>
      </c>
      <c r="JG77">
        <f>MAX(0,JF77*(1+$K$26)-$L$26)</f>
        <v/>
      </c>
      <c r="JH77">
        <f>JH76-MIN(JH76,JG77)</f>
        <v/>
      </c>
      <c r="JI77">
        <f>JG77-(JH76-JH77)</f>
        <v/>
      </c>
      <c r="JJ77">
        <f>MAX(0,JI77*(1+$K$26)-$L$26)</f>
        <v/>
      </c>
      <c r="JK77">
        <f>JK76-MIN(JK76,JJ77)</f>
        <v/>
      </c>
      <c r="JL77">
        <f>JJ77-(JK76-JK77)</f>
        <v/>
      </c>
      <c r="JM77">
        <f>MAX(0,JL77*(1+$K$26)-$L$26)</f>
        <v/>
      </c>
      <c r="JN77">
        <f>JN76-MIN(JN76,JM77)</f>
        <v/>
      </c>
      <c r="JO77">
        <f>JM77-(JN76-JN77)</f>
        <v/>
      </c>
      <c r="JP77">
        <f>MAX(0,JO77*(1+$K$26)-$L$26)</f>
        <v/>
      </c>
      <c r="JQ77">
        <f>JQ76-MIN(JQ76,JP77)</f>
        <v/>
      </c>
      <c r="JR77">
        <f>JP77-(JQ76-JQ77)</f>
        <v/>
      </c>
      <c r="JS77">
        <f>MAX(0,JR77*(1+$K$26)-$L$26)</f>
        <v/>
      </c>
      <c r="JT77">
        <f>JT76-MIN(JT76,JS77)</f>
        <v/>
      </c>
      <c r="JU77">
        <f>JS77-(JT76-JT77)</f>
        <v/>
      </c>
      <c r="JV77">
        <f>MAX(0,JU77*(1+$K$26)-$L$26)</f>
        <v/>
      </c>
      <c r="JW77">
        <f>JW76-MIN(JW76,JV77)</f>
        <v/>
      </c>
      <c r="JX77">
        <f>JV77-(JW76-JW77)</f>
        <v/>
      </c>
      <c r="JY77">
        <f>MAX(0,JX77*(1+$K$26)-$L$26)</f>
        <v/>
      </c>
      <c r="JZ77">
        <f>JZ76-MIN(JZ76,JY77)</f>
        <v/>
      </c>
      <c r="KA77">
        <f>JY77-(JZ76-JZ77)</f>
        <v/>
      </c>
      <c r="KB77">
        <f>MAX(0,KA77*(1+$K$26)-$L$26)</f>
        <v/>
      </c>
      <c r="KC77">
        <f>KC76-MIN(KC76,KB77)</f>
        <v/>
      </c>
      <c r="KD77">
        <f>KB77-(KC76-KC77)</f>
        <v/>
      </c>
      <c r="KE77">
        <f>MAX(0,KD77*(1+$K$26)-$L$26)</f>
        <v/>
      </c>
      <c r="KF77">
        <f>KF76-MIN(KF76,KE77)</f>
        <v/>
      </c>
      <c r="KG77">
        <f>KE77-(KF76-KF77)</f>
        <v/>
      </c>
      <c r="KH77">
        <f>MAX(0,KG77*(1+$K$26)-$L$26)</f>
        <v/>
      </c>
      <c r="KI77">
        <f>KI76-MIN(KI76,KH77)</f>
        <v/>
      </c>
      <c r="KJ77">
        <f>KH77-(KI76-KI77)</f>
        <v/>
      </c>
      <c r="KK77">
        <f>MAX(0,KJ77*(1+$K$26)-$L$26)</f>
        <v/>
      </c>
      <c r="KL77">
        <f>KL76-MIN(KL76,KK77)</f>
        <v/>
      </c>
      <c r="KM77">
        <f>KK77-(KL76-KL77)</f>
        <v/>
      </c>
      <c r="KN77">
        <f>MAX(0,KM77*(1+$K$26)-$L$26)</f>
        <v/>
      </c>
      <c r="KO77">
        <f>KO76-MIN(KO76,KN77)</f>
        <v/>
      </c>
      <c r="KP77">
        <f>KN77-(KO76-KO77)</f>
        <v/>
      </c>
      <c r="KQ77">
        <f>MAX(0,KP77*(1+$K$26)-$L$26)</f>
        <v/>
      </c>
      <c r="KR77">
        <f>KR76-MIN(KR76,KQ77)</f>
        <v/>
      </c>
      <c r="KS77">
        <f>KQ77-(KR76-KR77)</f>
        <v/>
      </c>
      <c r="KT77">
        <f>MAX(0,KS77*(1+$K$26)-$L$26)</f>
        <v/>
      </c>
      <c r="KU77">
        <f>KU76-MIN(KU76,KT77)</f>
        <v/>
      </c>
      <c r="KV77">
        <f>KT77-(KU76-KU77)</f>
        <v/>
      </c>
      <c r="KW77">
        <f>MAX(0,KV77*(1+$K$26)-$L$26)</f>
        <v/>
      </c>
      <c r="KX77">
        <f>KX76-MIN(KX76,KW77)</f>
        <v/>
      </c>
      <c r="KY77">
        <f>KW77-(KX76-KX77)</f>
        <v/>
      </c>
      <c r="KZ77">
        <f>MAX(0,KY77*(1+$K$26)-$L$26)</f>
        <v/>
      </c>
      <c r="LA77">
        <f>LA76-MIN(LA76,KZ77)</f>
        <v/>
      </c>
      <c r="LB77">
        <f>KZ77-(LA76-LA77)</f>
        <v/>
      </c>
      <c r="LC77">
        <f>MAX(0,LB77*(1+$K$26)-$L$26)</f>
        <v/>
      </c>
      <c r="LD77">
        <f>LD76-MIN(LD76,LC77)</f>
        <v/>
      </c>
      <c r="LE77">
        <f>LC77-(LD76-LD77)</f>
        <v/>
      </c>
      <c r="LF77">
        <f>MAX(0,LE77*(1+$K$26)-$L$26)</f>
        <v/>
      </c>
      <c r="LG77">
        <f>LG76-MIN(LG76,LF77)</f>
        <v/>
      </c>
      <c r="LH77">
        <f>LF77-(LG76-LG77)</f>
        <v/>
      </c>
      <c r="LI77">
        <f>MAX(0,LH77*(1+$K$26)-$L$26)</f>
        <v/>
      </c>
      <c r="LJ77">
        <f>LJ76-MIN(LJ76,LI77)</f>
        <v/>
      </c>
      <c r="LK77">
        <f>LI77-(LJ76-LJ77)</f>
        <v/>
      </c>
      <c r="LL77">
        <f>MAX(0,LK77*(1+$K$26)-$L$26)</f>
        <v/>
      </c>
      <c r="LM77">
        <f>LM76-MIN(LM76,LL77)</f>
        <v/>
      </c>
      <c r="LN77">
        <f>LL77-(LM76-LM77)</f>
        <v/>
      </c>
      <c r="LO77">
        <f>MAX(0,LN77*(1+$K$26)-$L$26)</f>
        <v/>
      </c>
      <c r="LP77">
        <f>LP76-MIN(LP76,LO77)</f>
        <v/>
      </c>
      <c r="LQ77">
        <f>LO77-(LP76-LP77)</f>
        <v/>
      </c>
      <c r="LR77">
        <f>MAX(0,LQ77*(1+$K$26)-$L$26)</f>
        <v/>
      </c>
      <c r="LS77">
        <f>LS76-MIN(LS76,LR77)</f>
        <v/>
      </c>
      <c r="LT77">
        <f>LR77-(LS76-LS77)</f>
        <v/>
      </c>
      <c r="LU77">
        <f>MAX(0,LT77*(1+$K$26)-$L$26)</f>
        <v/>
      </c>
      <c r="LV77">
        <f>LV76-MIN(LV76,LU77)</f>
        <v/>
      </c>
      <c r="LW77">
        <f>LU77-(LV76-LV77)</f>
        <v/>
      </c>
      <c r="LX77">
        <f>MAX(0,LW77*(1+$K$26)-$L$26)</f>
        <v/>
      </c>
      <c r="LY77">
        <f>LY76-MIN(LY76,LX77)</f>
        <v/>
      </c>
      <c r="LZ77">
        <f>LX77-(LY76-LY77)</f>
        <v/>
      </c>
      <c r="MA77">
        <f>MAX(0,LZ77*(1+$K$26)-$L$26)</f>
        <v/>
      </c>
      <c r="MB77">
        <f>MB76-MIN(MB76,MA77)</f>
        <v/>
      </c>
      <c r="MC77">
        <f>MA77-(MB76-MB77)</f>
        <v/>
      </c>
      <c r="MD77">
        <f>MAX(0,MC77*(1+$K$26)-$L$26)</f>
        <v/>
      </c>
      <c r="ME77">
        <f>ME76-MIN(ME76,MD77)</f>
        <v/>
      </c>
      <c r="MF77">
        <f>MD77-(ME76-ME77)</f>
        <v/>
      </c>
      <c r="MG77">
        <f>MAX(0,MF77*(1+$K$26)-$L$26)</f>
        <v/>
      </c>
      <c r="MH77">
        <f>MH76-MIN(MH76,MG77)</f>
        <v/>
      </c>
      <c r="MI77">
        <f>MG77-(MH76-MH77)</f>
        <v/>
      </c>
      <c r="MJ77">
        <f>MAX(0,MI77*(1+$K$26)-$L$26)</f>
        <v/>
      </c>
      <c r="MK77">
        <f>MK76-MIN(MK76,MJ77)</f>
        <v/>
      </c>
      <c r="ML77">
        <f>MJ77-(MK76-MK77)</f>
        <v/>
      </c>
      <c r="MM77">
        <f>MAX(0,ML77*(1+$K$26)-$L$26)</f>
        <v/>
      </c>
      <c r="MN77">
        <f>MN76-MIN(MN76,MM77)</f>
        <v/>
      </c>
      <c r="MO77">
        <f>MM77-(MN76-MN77)</f>
        <v/>
      </c>
      <c r="MP77">
        <f>MAX(0,MO77*(1+$K$26)-$L$26)</f>
        <v/>
      </c>
      <c r="MQ77">
        <f>MQ76-MIN(MQ76,MP77)</f>
        <v/>
      </c>
      <c r="MR77">
        <f>MP77-(MQ76-MQ77)</f>
        <v/>
      </c>
      <c r="MS77">
        <f>MAX(0,MR77*(1+$K$26)-$L$26)</f>
        <v/>
      </c>
      <c r="MT77">
        <f>MT76-MIN(MT76,MS77)</f>
        <v/>
      </c>
      <c r="MU77">
        <f>MS77-(MT76-MT77)</f>
        <v/>
      </c>
      <c r="MV77">
        <f>MAX(0,MU77*(1+$K$26)-$L$26)</f>
        <v/>
      </c>
      <c r="MW77">
        <f>MW76-MIN(MW76,MV77)</f>
        <v/>
      </c>
      <c r="MX77">
        <f>MV77-(MW76-MW77)</f>
        <v/>
      </c>
    </row>
    <row r="78">
      <c r="A78" t="inlineStr">
        <is>
          <t>slot 4</t>
        </is>
      </c>
      <c r="B78">
        <f>J27</f>
        <v/>
      </c>
      <c r="C78">
        <f>MAX(0,B78*(1+$K$27)-$L$27)</f>
        <v/>
      </c>
      <c r="D78">
        <f>D77-MIN(D77,C78)</f>
        <v/>
      </c>
      <c r="E78">
        <f>C78-(D77-D78)</f>
        <v/>
      </c>
      <c r="F78">
        <f>MAX(0,E78*(1+$K$27)-$L$27)</f>
        <v/>
      </c>
      <c r="G78">
        <f>G77-MIN(G77,F78)</f>
        <v/>
      </c>
      <c r="H78">
        <f>F78-(G77-G78)</f>
        <v/>
      </c>
      <c r="I78">
        <f>MAX(0,H78*(1+$K$27)-$L$27)</f>
        <v/>
      </c>
      <c r="J78">
        <f>J77-MIN(J77,I78)</f>
        <v/>
      </c>
      <c r="K78">
        <f>I78-(J77-J78)</f>
        <v/>
      </c>
      <c r="L78">
        <f>MAX(0,K78*(1+$K$27)-$L$27)</f>
        <v/>
      </c>
      <c r="M78">
        <f>M77-MIN(M77,L78)</f>
        <v/>
      </c>
      <c r="N78">
        <f>L78-(M77-M78)</f>
        <v/>
      </c>
      <c r="O78">
        <f>MAX(0,N78*(1+$K$27)-$L$27)</f>
        <v/>
      </c>
      <c r="P78">
        <f>P77-MIN(P77,O78)</f>
        <v/>
      </c>
      <c r="Q78">
        <f>O78-(P77-P78)</f>
        <v/>
      </c>
      <c r="R78">
        <f>MAX(0,Q78*(1+$K$27)-$L$27)</f>
        <v/>
      </c>
      <c r="S78">
        <f>S77-MIN(S77,R78)</f>
        <v/>
      </c>
      <c r="T78">
        <f>R78-(S77-S78)</f>
        <v/>
      </c>
      <c r="U78">
        <f>MAX(0,T78*(1+$K$27)-$L$27)</f>
        <v/>
      </c>
      <c r="V78">
        <f>V77-MIN(V77,U78)</f>
        <v/>
      </c>
      <c r="W78">
        <f>U78-(V77-V78)</f>
        <v/>
      </c>
      <c r="X78">
        <f>MAX(0,W78*(1+$K$27)-$L$27)</f>
        <v/>
      </c>
      <c r="Y78">
        <f>Y77-MIN(Y77,X78)</f>
        <v/>
      </c>
      <c r="Z78">
        <f>X78-(Y77-Y78)</f>
        <v/>
      </c>
      <c r="AA78">
        <f>MAX(0,Z78*(1+$K$27)-$L$27)</f>
        <v/>
      </c>
      <c r="AB78">
        <f>AB77-MIN(AB77,AA78)</f>
        <v/>
      </c>
      <c r="AC78">
        <f>AA78-(AB77-AB78)</f>
        <v/>
      </c>
      <c r="AD78">
        <f>MAX(0,AC78*(1+$K$27)-$L$27)</f>
        <v/>
      </c>
      <c r="AE78">
        <f>AE77-MIN(AE77,AD78)</f>
        <v/>
      </c>
      <c r="AF78">
        <f>AD78-(AE77-AE78)</f>
        <v/>
      </c>
      <c r="AG78">
        <f>MAX(0,AF78*(1+$K$27)-$L$27)</f>
        <v/>
      </c>
      <c r="AH78">
        <f>AH77-MIN(AH77,AG78)</f>
        <v/>
      </c>
      <c r="AI78">
        <f>AG78-(AH77-AH78)</f>
        <v/>
      </c>
      <c r="AJ78">
        <f>MAX(0,AI78*(1+$K$27)-$L$27)</f>
        <v/>
      </c>
      <c r="AK78">
        <f>AK77-MIN(AK77,AJ78)</f>
        <v/>
      </c>
      <c r="AL78">
        <f>AJ78-(AK77-AK78)</f>
        <v/>
      </c>
      <c r="AM78">
        <f>MAX(0,AL78*(1+$K$27)-$L$27)</f>
        <v/>
      </c>
      <c r="AN78">
        <f>AN77-MIN(AN77,AM78)</f>
        <v/>
      </c>
      <c r="AO78">
        <f>AM78-(AN77-AN78)</f>
        <v/>
      </c>
      <c r="AP78">
        <f>MAX(0,AO78*(1+$K$27)-$L$27)</f>
        <v/>
      </c>
      <c r="AQ78">
        <f>AQ77-MIN(AQ77,AP78)</f>
        <v/>
      </c>
      <c r="AR78">
        <f>AP78-(AQ77-AQ78)</f>
        <v/>
      </c>
      <c r="AS78">
        <f>MAX(0,AR78*(1+$K$27)-$L$27)</f>
        <v/>
      </c>
      <c r="AT78">
        <f>AT77-MIN(AT77,AS78)</f>
        <v/>
      </c>
      <c r="AU78">
        <f>AS78-(AT77-AT78)</f>
        <v/>
      </c>
      <c r="AV78">
        <f>MAX(0,AU78*(1+$K$27)-$L$27)</f>
        <v/>
      </c>
      <c r="AW78">
        <f>AW77-MIN(AW77,AV78)</f>
        <v/>
      </c>
      <c r="AX78">
        <f>AV78-(AW77-AW78)</f>
        <v/>
      </c>
      <c r="AY78">
        <f>MAX(0,AX78*(1+$K$27)-$L$27)</f>
        <v/>
      </c>
      <c r="AZ78">
        <f>AZ77-MIN(AZ77,AY78)</f>
        <v/>
      </c>
      <c r="BA78">
        <f>AY78-(AZ77-AZ78)</f>
        <v/>
      </c>
      <c r="BB78">
        <f>MAX(0,BA78*(1+$K$27)-$L$27)</f>
        <v/>
      </c>
      <c r="BC78">
        <f>BC77-MIN(BC77,BB78)</f>
        <v/>
      </c>
      <c r="BD78">
        <f>BB78-(BC77-BC78)</f>
        <v/>
      </c>
      <c r="BE78">
        <f>MAX(0,BD78*(1+$K$27)-$L$27)</f>
        <v/>
      </c>
      <c r="BF78">
        <f>BF77-MIN(BF77,BE78)</f>
        <v/>
      </c>
      <c r="BG78">
        <f>BE78-(BF77-BF78)</f>
        <v/>
      </c>
      <c r="BH78">
        <f>MAX(0,BG78*(1+$K$27)-$L$27)</f>
        <v/>
      </c>
      <c r="BI78">
        <f>BI77-MIN(BI77,BH78)</f>
        <v/>
      </c>
      <c r="BJ78">
        <f>BH78-(BI77-BI78)</f>
        <v/>
      </c>
      <c r="BK78">
        <f>MAX(0,BJ78*(1+$K$27)-$L$27)</f>
        <v/>
      </c>
      <c r="BL78">
        <f>BL77-MIN(BL77,BK78)</f>
        <v/>
      </c>
      <c r="BM78">
        <f>BK78-(BL77-BL78)</f>
        <v/>
      </c>
      <c r="BN78">
        <f>MAX(0,BM78*(1+$K$27)-$L$27)</f>
        <v/>
      </c>
      <c r="BO78">
        <f>BO77-MIN(BO77,BN78)</f>
        <v/>
      </c>
      <c r="BP78">
        <f>BN78-(BO77-BO78)</f>
        <v/>
      </c>
      <c r="BQ78">
        <f>MAX(0,BP78*(1+$K$27)-$L$27)</f>
        <v/>
      </c>
      <c r="BR78">
        <f>BR77-MIN(BR77,BQ78)</f>
        <v/>
      </c>
      <c r="BS78">
        <f>BQ78-(BR77-BR78)</f>
        <v/>
      </c>
      <c r="BT78">
        <f>MAX(0,BS78*(1+$K$27)-$L$27)</f>
        <v/>
      </c>
      <c r="BU78">
        <f>BU77-MIN(BU77,BT78)</f>
        <v/>
      </c>
      <c r="BV78">
        <f>BT78-(BU77-BU78)</f>
        <v/>
      </c>
      <c r="BW78">
        <f>MAX(0,BV78*(1+$K$27)-$L$27)</f>
        <v/>
      </c>
      <c r="BX78">
        <f>BX77-MIN(BX77,BW78)</f>
        <v/>
      </c>
      <c r="BY78">
        <f>BW78-(BX77-BX78)</f>
        <v/>
      </c>
      <c r="BZ78">
        <f>MAX(0,BY78*(1+$K$27)-$L$27)</f>
        <v/>
      </c>
      <c r="CA78">
        <f>CA77-MIN(CA77,BZ78)</f>
        <v/>
      </c>
      <c r="CB78">
        <f>BZ78-(CA77-CA78)</f>
        <v/>
      </c>
      <c r="CC78">
        <f>MAX(0,CB78*(1+$K$27)-$L$27)</f>
        <v/>
      </c>
      <c r="CD78">
        <f>CD77-MIN(CD77,CC78)</f>
        <v/>
      </c>
      <c r="CE78">
        <f>CC78-(CD77-CD78)</f>
        <v/>
      </c>
      <c r="CF78">
        <f>MAX(0,CE78*(1+$K$27)-$L$27)</f>
        <v/>
      </c>
      <c r="CG78">
        <f>CG77-MIN(CG77,CF78)</f>
        <v/>
      </c>
      <c r="CH78">
        <f>CF78-(CG77-CG78)</f>
        <v/>
      </c>
      <c r="CI78">
        <f>MAX(0,CH78*(1+$K$27)-$L$27)</f>
        <v/>
      </c>
      <c r="CJ78">
        <f>CJ77-MIN(CJ77,CI78)</f>
        <v/>
      </c>
      <c r="CK78">
        <f>CI78-(CJ77-CJ78)</f>
        <v/>
      </c>
      <c r="CL78">
        <f>MAX(0,CK78*(1+$K$27)-$L$27)</f>
        <v/>
      </c>
      <c r="CM78">
        <f>CM77-MIN(CM77,CL78)</f>
        <v/>
      </c>
      <c r="CN78">
        <f>CL78-(CM77-CM78)</f>
        <v/>
      </c>
      <c r="CO78">
        <f>MAX(0,CN78*(1+$K$27)-$L$27)</f>
        <v/>
      </c>
      <c r="CP78">
        <f>CP77-MIN(CP77,CO78)</f>
        <v/>
      </c>
      <c r="CQ78">
        <f>CO78-(CP77-CP78)</f>
        <v/>
      </c>
      <c r="CR78">
        <f>MAX(0,CQ78*(1+$K$27)-$L$27)</f>
        <v/>
      </c>
      <c r="CS78">
        <f>CS77-MIN(CS77,CR78)</f>
        <v/>
      </c>
      <c r="CT78">
        <f>CR78-(CS77-CS78)</f>
        <v/>
      </c>
      <c r="CU78">
        <f>MAX(0,CT78*(1+$K$27)-$L$27)</f>
        <v/>
      </c>
      <c r="CV78">
        <f>CV77-MIN(CV77,CU78)</f>
        <v/>
      </c>
      <c r="CW78">
        <f>CU78-(CV77-CV78)</f>
        <v/>
      </c>
      <c r="CX78">
        <f>MAX(0,CW78*(1+$K$27)-$L$27)</f>
        <v/>
      </c>
      <c r="CY78">
        <f>CY77-MIN(CY77,CX78)</f>
        <v/>
      </c>
      <c r="CZ78">
        <f>CX78-(CY77-CY78)</f>
        <v/>
      </c>
      <c r="DA78">
        <f>MAX(0,CZ78*(1+$K$27)-$L$27)</f>
        <v/>
      </c>
      <c r="DB78">
        <f>DB77-MIN(DB77,DA78)</f>
        <v/>
      </c>
      <c r="DC78">
        <f>DA78-(DB77-DB78)</f>
        <v/>
      </c>
      <c r="DD78">
        <f>MAX(0,DC78*(1+$K$27)-$L$27)</f>
        <v/>
      </c>
      <c r="DE78">
        <f>DE77-MIN(DE77,DD78)</f>
        <v/>
      </c>
      <c r="DF78">
        <f>DD78-(DE77-DE78)</f>
        <v/>
      </c>
      <c r="DG78">
        <f>MAX(0,DF78*(1+$K$27)-$L$27)</f>
        <v/>
      </c>
      <c r="DH78">
        <f>DH77-MIN(DH77,DG78)</f>
        <v/>
      </c>
      <c r="DI78">
        <f>DG78-(DH77-DH78)</f>
        <v/>
      </c>
      <c r="DJ78">
        <f>MAX(0,DI78*(1+$K$27)-$L$27)</f>
        <v/>
      </c>
      <c r="DK78">
        <f>DK77-MIN(DK77,DJ78)</f>
        <v/>
      </c>
      <c r="DL78">
        <f>DJ78-(DK77-DK78)</f>
        <v/>
      </c>
      <c r="DM78">
        <f>MAX(0,DL78*(1+$K$27)-$L$27)</f>
        <v/>
      </c>
      <c r="DN78">
        <f>DN77-MIN(DN77,DM78)</f>
        <v/>
      </c>
      <c r="DO78">
        <f>DM78-(DN77-DN78)</f>
        <v/>
      </c>
      <c r="DP78">
        <f>MAX(0,DO78*(1+$K$27)-$L$27)</f>
        <v/>
      </c>
      <c r="DQ78">
        <f>DQ77-MIN(DQ77,DP78)</f>
        <v/>
      </c>
      <c r="DR78">
        <f>DP78-(DQ77-DQ78)</f>
        <v/>
      </c>
      <c r="DS78">
        <f>MAX(0,DR78*(1+$K$27)-$L$27)</f>
        <v/>
      </c>
      <c r="DT78">
        <f>DT77-MIN(DT77,DS78)</f>
        <v/>
      </c>
      <c r="DU78">
        <f>DS78-(DT77-DT78)</f>
        <v/>
      </c>
      <c r="DV78">
        <f>MAX(0,DU78*(1+$K$27)-$L$27)</f>
        <v/>
      </c>
      <c r="DW78">
        <f>DW77-MIN(DW77,DV78)</f>
        <v/>
      </c>
      <c r="DX78">
        <f>DV78-(DW77-DW78)</f>
        <v/>
      </c>
      <c r="DY78">
        <f>MAX(0,DX78*(1+$K$27)-$L$27)</f>
        <v/>
      </c>
      <c r="DZ78">
        <f>DZ77-MIN(DZ77,DY78)</f>
        <v/>
      </c>
      <c r="EA78">
        <f>DY78-(DZ77-DZ78)</f>
        <v/>
      </c>
      <c r="EB78">
        <f>MAX(0,EA78*(1+$K$27)-$L$27)</f>
        <v/>
      </c>
      <c r="EC78">
        <f>EC77-MIN(EC77,EB78)</f>
        <v/>
      </c>
      <c r="ED78">
        <f>EB78-(EC77-EC78)</f>
        <v/>
      </c>
      <c r="EE78">
        <f>MAX(0,ED78*(1+$K$27)-$L$27)</f>
        <v/>
      </c>
      <c r="EF78">
        <f>EF77-MIN(EF77,EE78)</f>
        <v/>
      </c>
      <c r="EG78">
        <f>EE78-(EF77-EF78)</f>
        <v/>
      </c>
      <c r="EH78">
        <f>MAX(0,EG78*(1+$K$27)-$L$27)</f>
        <v/>
      </c>
      <c r="EI78">
        <f>EI77-MIN(EI77,EH78)</f>
        <v/>
      </c>
      <c r="EJ78">
        <f>EH78-(EI77-EI78)</f>
        <v/>
      </c>
      <c r="EK78">
        <f>MAX(0,EJ78*(1+$K$27)-$L$27)</f>
        <v/>
      </c>
      <c r="EL78">
        <f>EL77-MIN(EL77,EK78)</f>
        <v/>
      </c>
      <c r="EM78">
        <f>EK78-(EL77-EL78)</f>
        <v/>
      </c>
      <c r="EN78">
        <f>MAX(0,EM78*(1+$K$27)-$L$27)</f>
        <v/>
      </c>
      <c r="EO78">
        <f>EO77-MIN(EO77,EN78)</f>
        <v/>
      </c>
      <c r="EP78">
        <f>EN78-(EO77-EO78)</f>
        <v/>
      </c>
      <c r="EQ78">
        <f>MAX(0,EP78*(1+$K$27)-$L$27)</f>
        <v/>
      </c>
      <c r="ER78">
        <f>ER77-MIN(ER77,EQ78)</f>
        <v/>
      </c>
      <c r="ES78">
        <f>EQ78-(ER77-ER78)</f>
        <v/>
      </c>
      <c r="ET78">
        <f>MAX(0,ES78*(1+$K$27)-$L$27)</f>
        <v/>
      </c>
      <c r="EU78">
        <f>EU77-MIN(EU77,ET78)</f>
        <v/>
      </c>
      <c r="EV78">
        <f>ET78-(EU77-EU78)</f>
        <v/>
      </c>
      <c r="EW78">
        <f>MAX(0,EV78*(1+$K$27)-$L$27)</f>
        <v/>
      </c>
      <c r="EX78">
        <f>EX77-MIN(EX77,EW78)</f>
        <v/>
      </c>
      <c r="EY78">
        <f>EW78-(EX77-EX78)</f>
        <v/>
      </c>
      <c r="EZ78">
        <f>MAX(0,EY78*(1+$K$27)-$L$27)</f>
        <v/>
      </c>
      <c r="FA78">
        <f>FA77-MIN(FA77,EZ78)</f>
        <v/>
      </c>
      <c r="FB78">
        <f>EZ78-(FA77-FA78)</f>
        <v/>
      </c>
      <c r="FC78">
        <f>MAX(0,FB78*(1+$K$27)-$L$27)</f>
        <v/>
      </c>
      <c r="FD78">
        <f>FD77-MIN(FD77,FC78)</f>
        <v/>
      </c>
      <c r="FE78">
        <f>FC78-(FD77-FD78)</f>
        <v/>
      </c>
      <c r="FF78">
        <f>MAX(0,FE78*(1+$K$27)-$L$27)</f>
        <v/>
      </c>
      <c r="FG78">
        <f>FG77-MIN(FG77,FF78)</f>
        <v/>
      </c>
      <c r="FH78">
        <f>FF78-(FG77-FG78)</f>
        <v/>
      </c>
      <c r="FI78">
        <f>MAX(0,FH78*(1+$K$27)-$L$27)</f>
        <v/>
      </c>
      <c r="FJ78">
        <f>FJ77-MIN(FJ77,FI78)</f>
        <v/>
      </c>
      <c r="FK78">
        <f>FI78-(FJ77-FJ78)</f>
        <v/>
      </c>
      <c r="FL78">
        <f>MAX(0,FK78*(1+$K$27)-$L$27)</f>
        <v/>
      </c>
      <c r="FM78">
        <f>FM77-MIN(FM77,FL78)</f>
        <v/>
      </c>
      <c r="FN78">
        <f>FL78-(FM77-FM78)</f>
        <v/>
      </c>
      <c r="FO78">
        <f>MAX(0,FN78*(1+$K$27)-$L$27)</f>
        <v/>
      </c>
      <c r="FP78">
        <f>FP77-MIN(FP77,FO78)</f>
        <v/>
      </c>
      <c r="FQ78">
        <f>FO78-(FP77-FP78)</f>
        <v/>
      </c>
      <c r="FR78">
        <f>MAX(0,FQ78*(1+$K$27)-$L$27)</f>
        <v/>
      </c>
      <c r="FS78">
        <f>FS77-MIN(FS77,FR78)</f>
        <v/>
      </c>
      <c r="FT78">
        <f>FR78-(FS77-FS78)</f>
        <v/>
      </c>
      <c r="FU78">
        <f>MAX(0,FT78*(1+$K$27)-$L$27)</f>
        <v/>
      </c>
      <c r="FV78">
        <f>FV77-MIN(FV77,FU78)</f>
        <v/>
      </c>
      <c r="FW78">
        <f>FU78-(FV77-FV78)</f>
        <v/>
      </c>
      <c r="FX78">
        <f>MAX(0,FW78*(1+$K$27)-$L$27)</f>
        <v/>
      </c>
      <c r="FY78">
        <f>FY77-MIN(FY77,FX78)</f>
        <v/>
      </c>
      <c r="FZ78">
        <f>FX78-(FY77-FY78)</f>
        <v/>
      </c>
      <c r="GA78">
        <f>MAX(0,FZ78*(1+$K$27)-$L$27)</f>
        <v/>
      </c>
      <c r="GB78">
        <f>GB77-MIN(GB77,GA78)</f>
        <v/>
      </c>
      <c r="GC78">
        <f>GA78-(GB77-GB78)</f>
        <v/>
      </c>
      <c r="GD78">
        <f>MAX(0,GC78*(1+$K$27)-$L$27)</f>
        <v/>
      </c>
      <c r="GE78">
        <f>GE77-MIN(GE77,GD78)</f>
        <v/>
      </c>
      <c r="GF78">
        <f>GD78-(GE77-GE78)</f>
        <v/>
      </c>
      <c r="GG78">
        <f>MAX(0,GF78*(1+$K$27)-$L$27)</f>
        <v/>
      </c>
      <c r="GH78">
        <f>GH77-MIN(GH77,GG78)</f>
        <v/>
      </c>
      <c r="GI78">
        <f>GG78-(GH77-GH78)</f>
        <v/>
      </c>
      <c r="GJ78">
        <f>MAX(0,GI78*(1+$K$27)-$L$27)</f>
        <v/>
      </c>
      <c r="GK78">
        <f>GK77-MIN(GK77,GJ78)</f>
        <v/>
      </c>
      <c r="GL78">
        <f>GJ78-(GK77-GK78)</f>
        <v/>
      </c>
      <c r="GM78">
        <f>MAX(0,GL78*(1+$K$27)-$L$27)</f>
        <v/>
      </c>
      <c r="GN78">
        <f>GN77-MIN(GN77,GM78)</f>
        <v/>
      </c>
      <c r="GO78">
        <f>GM78-(GN77-GN78)</f>
        <v/>
      </c>
      <c r="GP78">
        <f>MAX(0,GO78*(1+$K$27)-$L$27)</f>
        <v/>
      </c>
      <c r="GQ78">
        <f>GQ77-MIN(GQ77,GP78)</f>
        <v/>
      </c>
      <c r="GR78">
        <f>GP78-(GQ77-GQ78)</f>
        <v/>
      </c>
      <c r="GS78">
        <f>MAX(0,GR78*(1+$K$27)-$L$27)</f>
        <v/>
      </c>
      <c r="GT78">
        <f>GT77-MIN(GT77,GS78)</f>
        <v/>
      </c>
      <c r="GU78">
        <f>GS78-(GT77-GT78)</f>
        <v/>
      </c>
      <c r="GV78">
        <f>MAX(0,GU78*(1+$K$27)-$L$27)</f>
        <v/>
      </c>
      <c r="GW78">
        <f>GW77-MIN(GW77,GV78)</f>
        <v/>
      </c>
      <c r="GX78">
        <f>GV78-(GW77-GW78)</f>
        <v/>
      </c>
      <c r="GY78">
        <f>MAX(0,GX78*(1+$K$27)-$L$27)</f>
        <v/>
      </c>
      <c r="GZ78">
        <f>GZ77-MIN(GZ77,GY78)</f>
        <v/>
      </c>
      <c r="HA78">
        <f>GY78-(GZ77-GZ78)</f>
        <v/>
      </c>
      <c r="HB78">
        <f>MAX(0,HA78*(1+$K$27)-$L$27)</f>
        <v/>
      </c>
      <c r="HC78">
        <f>HC77-MIN(HC77,HB78)</f>
        <v/>
      </c>
      <c r="HD78">
        <f>HB78-(HC77-HC78)</f>
        <v/>
      </c>
      <c r="HE78">
        <f>MAX(0,HD78*(1+$K$27)-$L$27)</f>
        <v/>
      </c>
      <c r="HF78">
        <f>HF77-MIN(HF77,HE78)</f>
        <v/>
      </c>
      <c r="HG78">
        <f>HE78-(HF77-HF78)</f>
        <v/>
      </c>
      <c r="HH78">
        <f>MAX(0,HG78*(1+$K$27)-$L$27)</f>
        <v/>
      </c>
      <c r="HI78">
        <f>HI77-MIN(HI77,HH78)</f>
        <v/>
      </c>
      <c r="HJ78">
        <f>HH78-(HI77-HI78)</f>
        <v/>
      </c>
      <c r="HK78">
        <f>MAX(0,HJ78*(1+$K$27)-$L$27)</f>
        <v/>
      </c>
      <c r="HL78">
        <f>HL77-MIN(HL77,HK78)</f>
        <v/>
      </c>
      <c r="HM78">
        <f>HK78-(HL77-HL78)</f>
        <v/>
      </c>
      <c r="HN78">
        <f>MAX(0,HM78*(1+$K$27)-$L$27)</f>
        <v/>
      </c>
      <c r="HO78">
        <f>HO77-MIN(HO77,HN78)</f>
        <v/>
      </c>
      <c r="HP78">
        <f>HN78-(HO77-HO78)</f>
        <v/>
      </c>
      <c r="HQ78">
        <f>MAX(0,HP78*(1+$K$27)-$L$27)</f>
        <v/>
      </c>
      <c r="HR78">
        <f>HR77-MIN(HR77,HQ78)</f>
        <v/>
      </c>
      <c r="HS78">
        <f>HQ78-(HR77-HR78)</f>
        <v/>
      </c>
      <c r="HT78">
        <f>MAX(0,HS78*(1+$K$27)-$L$27)</f>
        <v/>
      </c>
      <c r="HU78">
        <f>HU77-MIN(HU77,HT78)</f>
        <v/>
      </c>
      <c r="HV78">
        <f>HT78-(HU77-HU78)</f>
        <v/>
      </c>
      <c r="HW78">
        <f>MAX(0,HV78*(1+$K$27)-$L$27)</f>
        <v/>
      </c>
      <c r="HX78">
        <f>HX77-MIN(HX77,HW78)</f>
        <v/>
      </c>
      <c r="HY78">
        <f>HW78-(HX77-HX78)</f>
        <v/>
      </c>
      <c r="HZ78">
        <f>MAX(0,HY78*(1+$K$27)-$L$27)</f>
        <v/>
      </c>
      <c r="IA78">
        <f>IA77-MIN(IA77,HZ78)</f>
        <v/>
      </c>
      <c r="IB78">
        <f>HZ78-(IA77-IA78)</f>
        <v/>
      </c>
      <c r="IC78">
        <f>MAX(0,IB78*(1+$K$27)-$L$27)</f>
        <v/>
      </c>
      <c r="ID78">
        <f>ID77-MIN(ID77,IC78)</f>
        <v/>
      </c>
      <c r="IE78">
        <f>IC78-(ID77-ID78)</f>
        <v/>
      </c>
      <c r="IF78">
        <f>MAX(0,IE78*(1+$K$27)-$L$27)</f>
        <v/>
      </c>
      <c r="IG78">
        <f>IG77-MIN(IG77,IF78)</f>
        <v/>
      </c>
      <c r="IH78">
        <f>IF78-(IG77-IG78)</f>
        <v/>
      </c>
      <c r="II78">
        <f>MAX(0,IH78*(1+$K$27)-$L$27)</f>
        <v/>
      </c>
      <c r="IJ78">
        <f>IJ77-MIN(IJ77,II78)</f>
        <v/>
      </c>
      <c r="IK78">
        <f>II78-(IJ77-IJ78)</f>
        <v/>
      </c>
      <c r="IL78">
        <f>MAX(0,IK78*(1+$K$27)-$L$27)</f>
        <v/>
      </c>
      <c r="IM78">
        <f>IM77-MIN(IM77,IL78)</f>
        <v/>
      </c>
      <c r="IN78">
        <f>IL78-(IM77-IM78)</f>
        <v/>
      </c>
      <c r="IO78">
        <f>MAX(0,IN78*(1+$K$27)-$L$27)</f>
        <v/>
      </c>
      <c r="IP78">
        <f>IP77-MIN(IP77,IO78)</f>
        <v/>
      </c>
      <c r="IQ78">
        <f>IO78-(IP77-IP78)</f>
        <v/>
      </c>
      <c r="IR78">
        <f>MAX(0,IQ78*(1+$K$27)-$L$27)</f>
        <v/>
      </c>
      <c r="IS78">
        <f>IS77-MIN(IS77,IR78)</f>
        <v/>
      </c>
      <c r="IT78">
        <f>IR78-(IS77-IS78)</f>
        <v/>
      </c>
      <c r="IU78">
        <f>MAX(0,IT78*(1+$K$27)-$L$27)</f>
        <v/>
      </c>
      <c r="IV78">
        <f>IV77-MIN(IV77,IU78)</f>
        <v/>
      </c>
      <c r="IW78">
        <f>IU78-(IV77-IV78)</f>
        <v/>
      </c>
      <c r="IX78">
        <f>MAX(0,IW78*(1+$K$27)-$L$27)</f>
        <v/>
      </c>
      <c r="IY78">
        <f>IY77-MIN(IY77,IX78)</f>
        <v/>
      </c>
      <c r="IZ78">
        <f>IX78-(IY77-IY78)</f>
        <v/>
      </c>
      <c r="JA78">
        <f>MAX(0,IZ78*(1+$K$27)-$L$27)</f>
        <v/>
      </c>
      <c r="JB78">
        <f>JB77-MIN(JB77,JA78)</f>
        <v/>
      </c>
      <c r="JC78">
        <f>JA78-(JB77-JB78)</f>
        <v/>
      </c>
      <c r="JD78">
        <f>MAX(0,JC78*(1+$K$27)-$L$27)</f>
        <v/>
      </c>
      <c r="JE78">
        <f>JE77-MIN(JE77,JD78)</f>
        <v/>
      </c>
      <c r="JF78">
        <f>JD78-(JE77-JE78)</f>
        <v/>
      </c>
      <c r="JG78">
        <f>MAX(0,JF78*(1+$K$27)-$L$27)</f>
        <v/>
      </c>
      <c r="JH78">
        <f>JH77-MIN(JH77,JG78)</f>
        <v/>
      </c>
      <c r="JI78">
        <f>JG78-(JH77-JH78)</f>
        <v/>
      </c>
      <c r="JJ78">
        <f>MAX(0,JI78*(1+$K$27)-$L$27)</f>
        <v/>
      </c>
      <c r="JK78">
        <f>JK77-MIN(JK77,JJ78)</f>
        <v/>
      </c>
      <c r="JL78">
        <f>JJ78-(JK77-JK78)</f>
        <v/>
      </c>
      <c r="JM78">
        <f>MAX(0,JL78*(1+$K$27)-$L$27)</f>
        <v/>
      </c>
      <c r="JN78">
        <f>JN77-MIN(JN77,JM78)</f>
        <v/>
      </c>
      <c r="JO78">
        <f>JM78-(JN77-JN78)</f>
        <v/>
      </c>
      <c r="JP78">
        <f>MAX(0,JO78*(1+$K$27)-$L$27)</f>
        <v/>
      </c>
      <c r="JQ78">
        <f>JQ77-MIN(JQ77,JP78)</f>
        <v/>
      </c>
      <c r="JR78">
        <f>JP78-(JQ77-JQ78)</f>
        <v/>
      </c>
      <c r="JS78">
        <f>MAX(0,JR78*(1+$K$27)-$L$27)</f>
        <v/>
      </c>
      <c r="JT78">
        <f>JT77-MIN(JT77,JS78)</f>
        <v/>
      </c>
      <c r="JU78">
        <f>JS78-(JT77-JT78)</f>
        <v/>
      </c>
      <c r="JV78">
        <f>MAX(0,JU78*(1+$K$27)-$L$27)</f>
        <v/>
      </c>
      <c r="JW78">
        <f>JW77-MIN(JW77,JV78)</f>
        <v/>
      </c>
      <c r="JX78">
        <f>JV78-(JW77-JW78)</f>
        <v/>
      </c>
      <c r="JY78">
        <f>MAX(0,JX78*(1+$K$27)-$L$27)</f>
        <v/>
      </c>
      <c r="JZ78">
        <f>JZ77-MIN(JZ77,JY78)</f>
        <v/>
      </c>
      <c r="KA78">
        <f>JY78-(JZ77-JZ78)</f>
        <v/>
      </c>
      <c r="KB78">
        <f>MAX(0,KA78*(1+$K$27)-$L$27)</f>
        <v/>
      </c>
      <c r="KC78">
        <f>KC77-MIN(KC77,KB78)</f>
        <v/>
      </c>
      <c r="KD78">
        <f>KB78-(KC77-KC78)</f>
        <v/>
      </c>
      <c r="KE78">
        <f>MAX(0,KD78*(1+$K$27)-$L$27)</f>
        <v/>
      </c>
      <c r="KF78">
        <f>KF77-MIN(KF77,KE78)</f>
        <v/>
      </c>
      <c r="KG78">
        <f>KE78-(KF77-KF78)</f>
        <v/>
      </c>
      <c r="KH78">
        <f>MAX(0,KG78*(1+$K$27)-$L$27)</f>
        <v/>
      </c>
      <c r="KI78">
        <f>KI77-MIN(KI77,KH78)</f>
        <v/>
      </c>
      <c r="KJ78">
        <f>KH78-(KI77-KI78)</f>
        <v/>
      </c>
      <c r="KK78">
        <f>MAX(0,KJ78*(1+$K$27)-$L$27)</f>
        <v/>
      </c>
      <c r="KL78">
        <f>KL77-MIN(KL77,KK78)</f>
        <v/>
      </c>
      <c r="KM78">
        <f>KK78-(KL77-KL78)</f>
        <v/>
      </c>
      <c r="KN78">
        <f>MAX(0,KM78*(1+$K$27)-$L$27)</f>
        <v/>
      </c>
      <c r="KO78">
        <f>KO77-MIN(KO77,KN78)</f>
        <v/>
      </c>
      <c r="KP78">
        <f>KN78-(KO77-KO78)</f>
        <v/>
      </c>
      <c r="KQ78">
        <f>MAX(0,KP78*(1+$K$27)-$L$27)</f>
        <v/>
      </c>
      <c r="KR78">
        <f>KR77-MIN(KR77,KQ78)</f>
        <v/>
      </c>
      <c r="KS78">
        <f>KQ78-(KR77-KR78)</f>
        <v/>
      </c>
      <c r="KT78">
        <f>MAX(0,KS78*(1+$K$27)-$L$27)</f>
        <v/>
      </c>
      <c r="KU78">
        <f>KU77-MIN(KU77,KT78)</f>
        <v/>
      </c>
      <c r="KV78">
        <f>KT78-(KU77-KU78)</f>
        <v/>
      </c>
      <c r="KW78">
        <f>MAX(0,KV78*(1+$K$27)-$L$27)</f>
        <v/>
      </c>
      <c r="KX78">
        <f>KX77-MIN(KX77,KW78)</f>
        <v/>
      </c>
      <c r="KY78">
        <f>KW78-(KX77-KX78)</f>
        <v/>
      </c>
      <c r="KZ78">
        <f>MAX(0,KY78*(1+$K$27)-$L$27)</f>
        <v/>
      </c>
      <c r="LA78">
        <f>LA77-MIN(LA77,KZ78)</f>
        <v/>
      </c>
      <c r="LB78">
        <f>KZ78-(LA77-LA78)</f>
        <v/>
      </c>
      <c r="LC78">
        <f>MAX(0,LB78*(1+$K$27)-$L$27)</f>
        <v/>
      </c>
      <c r="LD78">
        <f>LD77-MIN(LD77,LC78)</f>
        <v/>
      </c>
      <c r="LE78">
        <f>LC78-(LD77-LD78)</f>
        <v/>
      </c>
      <c r="LF78">
        <f>MAX(0,LE78*(1+$K$27)-$L$27)</f>
        <v/>
      </c>
      <c r="LG78">
        <f>LG77-MIN(LG77,LF78)</f>
        <v/>
      </c>
      <c r="LH78">
        <f>LF78-(LG77-LG78)</f>
        <v/>
      </c>
      <c r="LI78">
        <f>MAX(0,LH78*(1+$K$27)-$L$27)</f>
        <v/>
      </c>
      <c r="LJ78">
        <f>LJ77-MIN(LJ77,LI78)</f>
        <v/>
      </c>
      <c r="LK78">
        <f>LI78-(LJ77-LJ78)</f>
        <v/>
      </c>
      <c r="LL78">
        <f>MAX(0,LK78*(1+$K$27)-$L$27)</f>
        <v/>
      </c>
      <c r="LM78">
        <f>LM77-MIN(LM77,LL78)</f>
        <v/>
      </c>
      <c r="LN78">
        <f>LL78-(LM77-LM78)</f>
        <v/>
      </c>
      <c r="LO78">
        <f>MAX(0,LN78*(1+$K$27)-$L$27)</f>
        <v/>
      </c>
      <c r="LP78">
        <f>LP77-MIN(LP77,LO78)</f>
        <v/>
      </c>
      <c r="LQ78">
        <f>LO78-(LP77-LP78)</f>
        <v/>
      </c>
      <c r="LR78">
        <f>MAX(0,LQ78*(1+$K$27)-$L$27)</f>
        <v/>
      </c>
      <c r="LS78">
        <f>LS77-MIN(LS77,LR78)</f>
        <v/>
      </c>
      <c r="LT78">
        <f>LR78-(LS77-LS78)</f>
        <v/>
      </c>
      <c r="LU78">
        <f>MAX(0,LT78*(1+$K$27)-$L$27)</f>
        <v/>
      </c>
      <c r="LV78">
        <f>LV77-MIN(LV77,LU78)</f>
        <v/>
      </c>
      <c r="LW78">
        <f>LU78-(LV77-LV78)</f>
        <v/>
      </c>
      <c r="LX78">
        <f>MAX(0,LW78*(1+$K$27)-$L$27)</f>
        <v/>
      </c>
      <c r="LY78">
        <f>LY77-MIN(LY77,LX78)</f>
        <v/>
      </c>
      <c r="LZ78">
        <f>LX78-(LY77-LY78)</f>
        <v/>
      </c>
      <c r="MA78">
        <f>MAX(0,LZ78*(1+$K$27)-$L$27)</f>
        <v/>
      </c>
      <c r="MB78">
        <f>MB77-MIN(MB77,MA78)</f>
        <v/>
      </c>
      <c r="MC78">
        <f>MA78-(MB77-MB78)</f>
        <v/>
      </c>
      <c r="MD78">
        <f>MAX(0,MC78*(1+$K$27)-$L$27)</f>
        <v/>
      </c>
      <c r="ME78">
        <f>ME77-MIN(ME77,MD78)</f>
        <v/>
      </c>
      <c r="MF78">
        <f>MD78-(ME77-ME78)</f>
        <v/>
      </c>
      <c r="MG78">
        <f>MAX(0,MF78*(1+$K$27)-$L$27)</f>
        <v/>
      </c>
      <c r="MH78">
        <f>MH77-MIN(MH77,MG78)</f>
        <v/>
      </c>
      <c r="MI78">
        <f>MG78-(MH77-MH78)</f>
        <v/>
      </c>
      <c r="MJ78">
        <f>MAX(0,MI78*(1+$K$27)-$L$27)</f>
        <v/>
      </c>
      <c r="MK78">
        <f>MK77-MIN(MK77,MJ78)</f>
        <v/>
      </c>
      <c r="ML78">
        <f>MJ78-(MK77-MK78)</f>
        <v/>
      </c>
      <c r="MM78">
        <f>MAX(0,ML78*(1+$K$27)-$L$27)</f>
        <v/>
      </c>
      <c r="MN78">
        <f>MN77-MIN(MN77,MM78)</f>
        <v/>
      </c>
      <c r="MO78">
        <f>MM78-(MN77-MN78)</f>
        <v/>
      </c>
      <c r="MP78">
        <f>MAX(0,MO78*(1+$K$27)-$L$27)</f>
        <v/>
      </c>
      <c r="MQ78">
        <f>MQ77-MIN(MQ77,MP78)</f>
        <v/>
      </c>
      <c r="MR78">
        <f>MP78-(MQ77-MQ78)</f>
        <v/>
      </c>
      <c r="MS78">
        <f>MAX(0,MR78*(1+$K$27)-$L$27)</f>
        <v/>
      </c>
      <c r="MT78">
        <f>MT77-MIN(MT77,MS78)</f>
        <v/>
      </c>
      <c r="MU78">
        <f>MS78-(MT77-MT78)</f>
        <v/>
      </c>
      <c r="MV78">
        <f>MAX(0,MU78*(1+$K$27)-$L$27)</f>
        <v/>
      </c>
      <c r="MW78">
        <f>MW77-MIN(MW77,MV78)</f>
        <v/>
      </c>
      <c r="MX78">
        <f>MV78-(MW77-MW78)</f>
        <v/>
      </c>
    </row>
    <row r="79">
      <c r="A79" t="inlineStr">
        <is>
          <t>slot 5</t>
        </is>
      </c>
      <c r="B79">
        <f>J28</f>
        <v/>
      </c>
      <c r="C79">
        <f>MAX(0,B79*(1+$K$28)-$L$28)</f>
        <v/>
      </c>
      <c r="D79">
        <f>D78-MIN(D78,C79)</f>
        <v/>
      </c>
      <c r="E79">
        <f>C79-(D78-D79)</f>
        <v/>
      </c>
      <c r="F79">
        <f>MAX(0,E79*(1+$K$28)-$L$28)</f>
        <v/>
      </c>
      <c r="G79">
        <f>G78-MIN(G78,F79)</f>
        <v/>
      </c>
      <c r="H79">
        <f>F79-(G78-G79)</f>
        <v/>
      </c>
      <c r="I79">
        <f>MAX(0,H79*(1+$K$28)-$L$28)</f>
        <v/>
      </c>
      <c r="J79">
        <f>J78-MIN(J78,I79)</f>
        <v/>
      </c>
      <c r="K79">
        <f>I79-(J78-J79)</f>
        <v/>
      </c>
      <c r="L79">
        <f>MAX(0,K79*(1+$K$28)-$L$28)</f>
        <v/>
      </c>
      <c r="M79">
        <f>M78-MIN(M78,L79)</f>
        <v/>
      </c>
      <c r="N79">
        <f>L79-(M78-M79)</f>
        <v/>
      </c>
      <c r="O79">
        <f>MAX(0,N79*(1+$K$28)-$L$28)</f>
        <v/>
      </c>
      <c r="P79">
        <f>P78-MIN(P78,O79)</f>
        <v/>
      </c>
      <c r="Q79">
        <f>O79-(P78-P79)</f>
        <v/>
      </c>
      <c r="R79">
        <f>MAX(0,Q79*(1+$K$28)-$L$28)</f>
        <v/>
      </c>
      <c r="S79">
        <f>S78-MIN(S78,R79)</f>
        <v/>
      </c>
      <c r="T79">
        <f>R79-(S78-S79)</f>
        <v/>
      </c>
      <c r="U79">
        <f>MAX(0,T79*(1+$K$28)-$L$28)</f>
        <v/>
      </c>
      <c r="V79">
        <f>V78-MIN(V78,U79)</f>
        <v/>
      </c>
      <c r="W79">
        <f>U79-(V78-V79)</f>
        <v/>
      </c>
      <c r="X79">
        <f>MAX(0,W79*(1+$K$28)-$L$28)</f>
        <v/>
      </c>
      <c r="Y79">
        <f>Y78-MIN(Y78,X79)</f>
        <v/>
      </c>
      <c r="Z79">
        <f>X79-(Y78-Y79)</f>
        <v/>
      </c>
      <c r="AA79">
        <f>MAX(0,Z79*(1+$K$28)-$L$28)</f>
        <v/>
      </c>
      <c r="AB79">
        <f>AB78-MIN(AB78,AA79)</f>
        <v/>
      </c>
      <c r="AC79">
        <f>AA79-(AB78-AB79)</f>
        <v/>
      </c>
      <c r="AD79">
        <f>MAX(0,AC79*(1+$K$28)-$L$28)</f>
        <v/>
      </c>
      <c r="AE79">
        <f>AE78-MIN(AE78,AD79)</f>
        <v/>
      </c>
      <c r="AF79">
        <f>AD79-(AE78-AE79)</f>
        <v/>
      </c>
      <c r="AG79">
        <f>MAX(0,AF79*(1+$K$28)-$L$28)</f>
        <v/>
      </c>
      <c r="AH79">
        <f>AH78-MIN(AH78,AG79)</f>
        <v/>
      </c>
      <c r="AI79">
        <f>AG79-(AH78-AH79)</f>
        <v/>
      </c>
      <c r="AJ79">
        <f>MAX(0,AI79*(1+$K$28)-$L$28)</f>
        <v/>
      </c>
      <c r="AK79">
        <f>AK78-MIN(AK78,AJ79)</f>
        <v/>
      </c>
      <c r="AL79">
        <f>AJ79-(AK78-AK79)</f>
        <v/>
      </c>
      <c r="AM79">
        <f>MAX(0,AL79*(1+$K$28)-$L$28)</f>
        <v/>
      </c>
      <c r="AN79">
        <f>AN78-MIN(AN78,AM79)</f>
        <v/>
      </c>
      <c r="AO79">
        <f>AM79-(AN78-AN79)</f>
        <v/>
      </c>
      <c r="AP79">
        <f>MAX(0,AO79*(1+$K$28)-$L$28)</f>
        <v/>
      </c>
      <c r="AQ79">
        <f>AQ78-MIN(AQ78,AP79)</f>
        <v/>
      </c>
      <c r="AR79">
        <f>AP79-(AQ78-AQ79)</f>
        <v/>
      </c>
      <c r="AS79">
        <f>MAX(0,AR79*(1+$K$28)-$L$28)</f>
        <v/>
      </c>
      <c r="AT79">
        <f>AT78-MIN(AT78,AS79)</f>
        <v/>
      </c>
      <c r="AU79">
        <f>AS79-(AT78-AT79)</f>
        <v/>
      </c>
      <c r="AV79">
        <f>MAX(0,AU79*(1+$K$28)-$L$28)</f>
        <v/>
      </c>
      <c r="AW79">
        <f>AW78-MIN(AW78,AV79)</f>
        <v/>
      </c>
      <c r="AX79">
        <f>AV79-(AW78-AW79)</f>
        <v/>
      </c>
      <c r="AY79">
        <f>MAX(0,AX79*(1+$K$28)-$L$28)</f>
        <v/>
      </c>
      <c r="AZ79">
        <f>AZ78-MIN(AZ78,AY79)</f>
        <v/>
      </c>
      <c r="BA79">
        <f>AY79-(AZ78-AZ79)</f>
        <v/>
      </c>
      <c r="BB79">
        <f>MAX(0,BA79*(1+$K$28)-$L$28)</f>
        <v/>
      </c>
      <c r="BC79">
        <f>BC78-MIN(BC78,BB79)</f>
        <v/>
      </c>
      <c r="BD79">
        <f>BB79-(BC78-BC79)</f>
        <v/>
      </c>
      <c r="BE79">
        <f>MAX(0,BD79*(1+$K$28)-$L$28)</f>
        <v/>
      </c>
      <c r="BF79">
        <f>BF78-MIN(BF78,BE79)</f>
        <v/>
      </c>
      <c r="BG79">
        <f>BE79-(BF78-BF79)</f>
        <v/>
      </c>
      <c r="BH79">
        <f>MAX(0,BG79*(1+$K$28)-$L$28)</f>
        <v/>
      </c>
      <c r="BI79">
        <f>BI78-MIN(BI78,BH79)</f>
        <v/>
      </c>
      <c r="BJ79">
        <f>BH79-(BI78-BI79)</f>
        <v/>
      </c>
      <c r="BK79">
        <f>MAX(0,BJ79*(1+$K$28)-$L$28)</f>
        <v/>
      </c>
      <c r="BL79">
        <f>BL78-MIN(BL78,BK79)</f>
        <v/>
      </c>
      <c r="BM79">
        <f>BK79-(BL78-BL79)</f>
        <v/>
      </c>
      <c r="BN79">
        <f>MAX(0,BM79*(1+$K$28)-$L$28)</f>
        <v/>
      </c>
      <c r="BO79">
        <f>BO78-MIN(BO78,BN79)</f>
        <v/>
      </c>
      <c r="BP79">
        <f>BN79-(BO78-BO79)</f>
        <v/>
      </c>
      <c r="BQ79">
        <f>MAX(0,BP79*(1+$K$28)-$L$28)</f>
        <v/>
      </c>
      <c r="BR79">
        <f>BR78-MIN(BR78,BQ79)</f>
        <v/>
      </c>
      <c r="BS79">
        <f>BQ79-(BR78-BR79)</f>
        <v/>
      </c>
      <c r="BT79">
        <f>MAX(0,BS79*(1+$K$28)-$L$28)</f>
        <v/>
      </c>
      <c r="BU79">
        <f>BU78-MIN(BU78,BT79)</f>
        <v/>
      </c>
      <c r="BV79">
        <f>BT79-(BU78-BU79)</f>
        <v/>
      </c>
      <c r="BW79">
        <f>MAX(0,BV79*(1+$K$28)-$L$28)</f>
        <v/>
      </c>
      <c r="BX79">
        <f>BX78-MIN(BX78,BW79)</f>
        <v/>
      </c>
      <c r="BY79">
        <f>BW79-(BX78-BX79)</f>
        <v/>
      </c>
      <c r="BZ79">
        <f>MAX(0,BY79*(1+$K$28)-$L$28)</f>
        <v/>
      </c>
      <c r="CA79">
        <f>CA78-MIN(CA78,BZ79)</f>
        <v/>
      </c>
      <c r="CB79">
        <f>BZ79-(CA78-CA79)</f>
        <v/>
      </c>
      <c r="CC79">
        <f>MAX(0,CB79*(1+$K$28)-$L$28)</f>
        <v/>
      </c>
      <c r="CD79">
        <f>CD78-MIN(CD78,CC79)</f>
        <v/>
      </c>
      <c r="CE79">
        <f>CC79-(CD78-CD79)</f>
        <v/>
      </c>
      <c r="CF79">
        <f>MAX(0,CE79*(1+$K$28)-$L$28)</f>
        <v/>
      </c>
      <c r="CG79">
        <f>CG78-MIN(CG78,CF79)</f>
        <v/>
      </c>
      <c r="CH79">
        <f>CF79-(CG78-CG79)</f>
        <v/>
      </c>
      <c r="CI79">
        <f>MAX(0,CH79*(1+$K$28)-$L$28)</f>
        <v/>
      </c>
      <c r="CJ79">
        <f>CJ78-MIN(CJ78,CI79)</f>
        <v/>
      </c>
      <c r="CK79">
        <f>CI79-(CJ78-CJ79)</f>
        <v/>
      </c>
      <c r="CL79">
        <f>MAX(0,CK79*(1+$K$28)-$L$28)</f>
        <v/>
      </c>
      <c r="CM79">
        <f>CM78-MIN(CM78,CL79)</f>
        <v/>
      </c>
      <c r="CN79">
        <f>CL79-(CM78-CM79)</f>
        <v/>
      </c>
      <c r="CO79">
        <f>MAX(0,CN79*(1+$K$28)-$L$28)</f>
        <v/>
      </c>
      <c r="CP79">
        <f>CP78-MIN(CP78,CO79)</f>
        <v/>
      </c>
      <c r="CQ79">
        <f>CO79-(CP78-CP79)</f>
        <v/>
      </c>
      <c r="CR79">
        <f>MAX(0,CQ79*(1+$K$28)-$L$28)</f>
        <v/>
      </c>
      <c r="CS79">
        <f>CS78-MIN(CS78,CR79)</f>
        <v/>
      </c>
      <c r="CT79">
        <f>CR79-(CS78-CS79)</f>
        <v/>
      </c>
      <c r="CU79">
        <f>MAX(0,CT79*(1+$K$28)-$L$28)</f>
        <v/>
      </c>
      <c r="CV79">
        <f>CV78-MIN(CV78,CU79)</f>
        <v/>
      </c>
      <c r="CW79">
        <f>CU79-(CV78-CV79)</f>
        <v/>
      </c>
      <c r="CX79">
        <f>MAX(0,CW79*(1+$K$28)-$L$28)</f>
        <v/>
      </c>
      <c r="CY79">
        <f>CY78-MIN(CY78,CX79)</f>
        <v/>
      </c>
      <c r="CZ79">
        <f>CX79-(CY78-CY79)</f>
        <v/>
      </c>
      <c r="DA79">
        <f>MAX(0,CZ79*(1+$K$28)-$L$28)</f>
        <v/>
      </c>
      <c r="DB79">
        <f>DB78-MIN(DB78,DA79)</f>
        <v/>
      </c>
      <c r="DC79">
        <f>DA79-(DB78-DB79)</f>
        <v/>
      </c>
      <c r="DD79">
        <f>MAX(0,DC79*(1+$K$28)-$L$28)</f>
        <v/>
      </c>
      <c r="DE79">
        <f>DE78-MIN(DE78,DD79)</f>
        <v/>
      </c>
      <c r="DF79">
        <f>DD79-(DE78-DE79)</f>
        <v/>
      </c>
      <c r="DG79">
        <f>MAX(0,DF79*(1+$K$28)-$L$28)</f>
        <v/>
      </c>
      <c r="DH79">
        <f>DH78-MIN(DH78,DG79)</f>
        <v/>
      </c>
      <c r="DI79">
        <f>DG79-(DH78-DH79)</f>
        <v/>
      </c>
      <c r="DJ79">
        <f>MAX(0,DI79*(1+$K$28)-$L$28)</f>
        <v/>
      </c>
      <c r="DK79">
        <f>DK78-MIN(DK78,DJ79)</f>
        <v/>
      </c>
      <c r="DL79">
        <f>DJ79-(DK78-DK79)</f>
        <v/>
      </c>
      <c r="DM79">
        <f>MAX(0,DL79*(1+$K$28)-$L$28)</f>
        <v/>
      </c>
      <c r="DN79">
        <f>DN78-MIN(DN78,DM79)</f>
        <v/>
      </c>
      <c r="DO79">
        <f>DM79-(DN78-DN79)</f>
        <v/>
      </c>
      <c r="DP79">
        <f>MAX(0,DO79*(1+$K$28)-$L$28)</f>
        <v/>
      </c>
      <c r="DQ79">
        <f>DQ78-MIN(DQ78,DP79)</f>
        <v/>
      </c>
      <c r="DR79">
        <f>DP79-(DQ78-DQ79)</f>
        <v/>
      </c>
      <c r="DS79">
        <f>MAX(0,DR79*(1+$K$28)-$L$28)</f>
        <v/>
      </c>
      <c r="DT79">
        <f>DT78-MIN(DT78,DS79)</f>
        <v/>
      </c>
      <c r="DU79">
        <f>DS79-(DT78-DT79)</f>
        <v/>
      </c>
      <c r="DV79">
        <f>MAX(0,DU79*(1+$K$28)-$L$28)</f>
        <v/>
      </c>
      <c r="DW79">
        <f>DW78-MIN(DW78,DV79)</f>
        <v/>
      </c>
      <c r="DX79">
        <f>DV79-(DW78-DW79)</f>
        <v/>
      </c>
      <c r="DY79">
        <f>MAX(0,DX79*(1+$K$28)-$L$28)</f>
        <v/>
      </c>
      <c r="DZ79">
        <f>DZ78-MIN(DZ78,DY79)</f>
        <v/>
      </c>
      <c r="EA79">
        <f>DY79-(DZ78-DZ79)</f>
        <v/>
      </c>
      <c r="EB79">
        <f>MAX(0,EA79*(1+$K$28)-$L$28)</f>
        <v/>
      </c>
      <c r="EC79">
        <f>EC78-MIN(EC78,EB79)</f>
        <v/>
      </c>
      <c r="ED79">
        <f>EB79-(EC78-EC79)</f>
        <v/>
      </c>
      <c r="EE79">
        <f>MAX(0,ED79*(1+$K$28)-$L$28)</f>
        <v/>
      </c>
      <c r="EF79">
        <f>EF78-MIN(EF78,EE79)</f>
        <v/>
      </c>
      <c r="EG79">
        <f>EE79-(EF78-EF79)</f>
        <v/>
      </c>
      <c r="EH79">
        <f>MAX(0,EG79*(1+$K$28)-$L$28)</f>
        <v/>
      </c>
      <c r="EI79">
        <f>EI78-MIN(EI78,EH79)</f>
        <v/>
      </c>
      <c r="EJ79">
        <f>EH79-(EI78-EI79)</f>
        <v/>
      </c>
      <c r="EK79">
        <f>MAX(0,EJ79*(1+$K$28)-$L$28)</f>
        <v/>
      </c>
      <c r="EL79">
        <f>EL78-MIN(EL78,EK79)</f>
        <v/>
      </c>
      <c r="EM79">
        <f>EK79-(EL78-EL79)</f>
        <v/>
      </c>
      <c r="EN79">
        <f>MAX(0,EM79*(1+$K$28)-$L$28)</f>
        <v/>
      </c>
      <c r="EO79">
        <f>EO78-MIN(EO78,EN79)</f>
        <v/>
      </c>
      <c r="EP79">
        <f>EN79-(EO78-EO79)</f>
        <v/>
      </c>
      <c r="EQ79">
        <f>MAX(0,EP79*(1+$K$28)-$L$28)</f>
        <v/>
      </c>
      <c r="ER79">
        <f>ER78-MIN(ER78,EQ79)</f>
        <v/>
      </c>
      <c r="ES79">
        <f>EQ79-(ER78-ER79)</f>
        <v/>
      </c>
      <c r="ET79">
        <f>MAX(0,ES79*(1+$K$28)-$L$28)</f>
        <v/>
      </c>
      <c r="EU79">
        <f>EU78-MIN(EU78,ET79)</f>
        <v/>
      </c>
      <c r="EV79">
        <f>ET79-(EU78-EU79)</f>
        <v/>
      </c>
      <c r="EW79">
        <f>MAX(0,EV79*(1+$K$28)-$L$28)</f>
        <v/>
      </c>
      <c r="EX79">
        <f>EX78-MIN(EX78,EW79)</f>
        <v/>
      </c>
      <c r="EY79">
        <f>EW79-(EX78-EX79)</f>
        <v/>
      </c>
      <c r="EZ79">
        <f>MAX(0,EY79*(1+$K$28)-$L$28)</f>
        <v/>
      </c>
      <c r="FA79">
        <f>FA78-MIN(FA78,EZ79)</f>
        <v/>
      </c>
      <c r="FB79">
        <f>EZ79-(FA78-FA79)</f>
        <v/>
      </c>
      <c r="FC79">
        <f>MAX(0,FB79*(1+$K$28)-$L$28)</f>
        <v/>
      </c>
      <c r="FD79">
        <f>FD78-MIN(FD78,FC79)</f>
        <v/>
      </c>
      <c r="FE79">
        <f>FC79-(FD78-FD79)</f>
        <v/>
      </c>
      <c r="FF79">
        <f>MAX(0,FE79*(1+$K$28)-$L$28)</f>
        <v/>
      </c>
      <c r="FG79">
        <f>FG78-MIN(FG78,FF79)</f>
        <v/>
      </c>
      <c r="FH79">
        <f>FF79-(FG78-FG79)</f>
        <v/>
      </c>
      <c r="FI79">
        <f>MAX(0,FH79*(1+$K$28)-$L$28)</f>
        <v/>
      </c>
      <c r="FJ79">
        <f>FJ78-MIN(FJ78,FI79)</f>
        <v/>
      </c>
      <c r="FK79">
        <f>FI79-(FJ78-FJ79)</f>
        <v/>
      </c>
      <c r="FL79">
        <f>MAX(0,FK79*(1+$K$28)-$L$28)</f>
        <v/>
      </c>
      <c r="FM79">
        <f>FM78-MIN(FM78,FL79)</f>
        <v/>
      </c>
      <c r="FN79">
        <f>FL79-(FM78-FM79)</f>
        <v/>
      </c>
      <c r="FO79">
        <f>MAX(0,FN79*(1+$K$28)-$L$28)</f>
        <v/>
      </c>
      <c r="FP79">
        <f>FP78-MIN(FP78,FO79)</f>
        <v/>
      </c>
      <c r="FQ79">
        <f>FO79-(FP78-FP79)</f>
        <v/>
      </c>
      <c r="FR79">
        <f>MAX(0,FQ79*(1+$K$28)-$L$28)</f>
        <v/>
      </c>
      <c r="FS79">
        <f>FS78-MIN(FS78,FR79)</f>
        <v/>
      </c>
      <c r="FT79">
        <f>FR79-(FS78-FS79)</f>
        <v/>
      </c>
      <c r="FU79">
        <f>MAX(0,FT79*(1+$K$28)-$L$28)</f>
        <v/>
      </c>
      <c r="FV79">
        <f>FV78-MIN(FV78,FU79)</f>
        <v/>
      </c>
      <c r="FW79">
        <f>FU79-(FV78-FV79)</f>
        <v/>
      </c>
      <c r="FX79">
        <f>MAX(0,FW79*(1+$K$28)-$L$28)</f>
        <v/>
      </c>
      <c r="FY79">
        <f>FY78-MIN(FY78,FX79)</f>
        <v/>
      </c>
      <c r="FZ79">
        <f>FX79-(FY78-FY79)</f>
        <v/>
      </c>
      <c r="GA79">
        <f>MAX(0,FZ79*(1+$K$28)-$L$28)</f>
        <v/>
      </c>
      <c r="GB79">
        <f>GB78-MIN(GB78,GA79)</f>
        <v/>
      </c>
      <c r="GC79">
        <f>GA79-(GB78-GB79)</f>
        <v/>
      </c>
      <c r="GD79">
        <f>MAX(0,GC79*(1+$K$28)-$L$28)</f>
        <v/>
      </c>
      <c r="GE79">
        <f>GE78-MIN(GE78,GD79)</f>
        <v/>
      </c>
      <c r="GF79">
        <f>GD79-(GE78-GE79)</f>
        <v/>
      </c>
      <c r="GG79">
        <f>MAX(0,GF79*(1+$K$28)-$L$28)</f>
        <v/>
      </c>
      <c r="GH79">
        <f>GH78-MIN(GH78,GG79)</f>
        <v/>
      </c>
      <c r="GI79">
        <f>GG79-(GH78-GH79)</f>
        <v/>
      </c>
      <c r="GJ79">
        <f>MAX(0,GI79*(1+$K$28)-$L$28)</f>
        <v/>
      </c>
      <c r="GK79">
        <f>GK78-MIN(GK78,GJ79)</f>
        <v/>
      </c>
      <c r="GL79">
        <f>GJ79-(GK78-GK79)</f>
        <v/>
      </c>
      <c r="GM79">
        <f>MAX(0,GL79*(1+$K$28)-$L$28)</f>
        <v/>
      </c>
      <c r="GN79">
        <f>GN78-MIN(GN78,GM79)</f>
        <v/>
      </c>
      <c r="GO79">
        <f>GM79-(GN78-GN79)</f>
        <v/>
      </c>
      <c r="GP79">
        <f>MAX(0,GO79*(1+$K$28)-$L$28)</f>
        <v/>
      </c>
      <c r="GQ79">
        <f>GQ78-MIN(GQ78,GP79)</f>
        <v/>
      </c>
      <c r="GR79">
        <f>GP79-(GQ78-GQ79)</f>
        <v/>
      </c>
      <c r="GS79">
        <f>MAX(0,GR79*(1+$K$28)-$L$28)</f>
        <v/>
      </c>
      <c r="GT79">
        <f>GT78-MIN(GT78,GS79)</f>
        <v/>
      </c>
      <c r="GU79">
        <f>GS79-(GT78-GT79)</f>
        <v/>
      </c>
      <c r="GV79">
        <f>MAX(0,GU79*(1+$K$28)-$L$28)</f>
        <v/>
      </c>
      <c r="GW79">
        <f>GW78-MIN(GW78,GV79)</f>
        <v/>
      </c>
      <c r="GX79">
        <f>GV79-(GW78-GW79)</f>
        <v/>
      </c>
      <c r="GY79">
        <f>MAX(0,GX79*(1+$K$28)-$L$28)</f>
        <v/>
      </c>
      <c r="GZ79">
        <f>GZ78-MIN(GZ78,GY79)</f>
        <v/>
      </c>
      <c r="HA79">
        <f>GY79-(GZ78-GZ79)</f>
        <v/>
      </c>
      <c r="HB79">
        <f>MAX(0,HA79*(1+$K$28)-$L$28)</f>
        <v/>
      </c>
      <c r="HC79">
        <f>HC78-MIN(HC78,HB79)</f>
        <v/>
      </c>
      <c r="HD79">
        <f>HB79-(HC78-HC79)</f>
        <v/>
      </c>
      <c r="HE79">
        <f>MAX(0,HD79*(1+$K$28)-$L$28)</f>
        <v/>
      </c>
      <c r="HF79">
        <f>HF78-MIN(HF78,HE79)</f>
        <v/>
      </c>
      <c r="HG79">
        <f>HE79-(HF78-HF79)</f>
        <v/>
      </c>
      <c r="HH79">
        <f>MAX(0,HG79*(1+$K$28)-$L$28)</f>
        <v/>
      </c>
      <c r="HI79">
        <f>HI78-MIN(HI78,HH79)</f>
        <v/>
      </c>
      <c r="HJ79">
        <f>HH79-(HI78-HI79)</f>
        <v/>
      </c>
      <c r="HK79">
        <f>MAX(0,HJ79*(1+$K$28)-$L$28)</f>
        <v/>
      </c>
      <c r="HL79">
        <f>HL78-MIN(HL78,HK79)</f>
        <v/>
      </c>
      <c r="HM79">
        <f>HK79-(HL78-HL79)</f>
        <v/>
      </c>
      <c r="HN79">
        <f>MAX(0,HM79*(1+$K$28)-$L$28)</f>
        <v/>
      </c>
      <c r="HO79">
        <f>HO78-MIN(HO78,HN79)</f>
        <v/>
      </c>
      <c r="HP79">
        <f>HN79-(HO78-HO79)</f>
        <v/>
      </c>
      <c r="HQ79">
        <f>MAX(0,HP79*(1+$K$28)-$L$28)</f>
        <v/>
      </c>
      <c r="HR79">
        <f>HR78-MIN(HR78,HQ79)</f>
        <v/>
      </c>
      <c r="HS79">
        <f>HQ79-(HR78-HR79)</f>
        <v/>
      </c>
      <c r="HT79">
        <f>MAX(0,HS79*(1+$K$28)-$L$28)</f>
        <v/>
      </c>
      <c r="HU79">
        <f>HU78-MIN(HU78,HT79)</f>
        <v/>
      </c>
      <c r="HV79">
        <f>HT79-(HU78-HU79)</f>
        <v/>
      </c>
      <c r="HW79">
        <f>MAX(0,HV79*(1+$K$28)-$L$28)</f>
        <v/>
      </c>
      <c r="HX79">
        <f>HX78-MIN(HX78,HW79)</f>
        <v/>
      </c>
      <c r="HY79">
        <f>HW79-(HX78-HX79)</f>
        <v/>
      </c>
      <c r="HZ79">
        <f>MAX(0,HY79*(1+$K$28)-$L$28)</f>
        <v/>
      </c>
      <c r="IA79">
        <f>IA78-MIN(IA78,HZ79)</f>
        <v/>
      </c>
      <c r="IB79">
        <f>HZ79-(IA78-IA79)</f>
        <v/>
      </c>
      <c r="IC79">
        <f>MAX(0,IB79*(1+$K$28)-$L$28)</f>
        <v/>
      </c>
      <c r="ID79">
        <f>ID78-MIN(ID78,IC79)</f>
        <v/>
      </c>
      <c r="IE79">
        <f>IC79-(ID78-ID79)</f>
        <v/>
      </c>
      <c r="IF79">
        <f>MAX(0,IE79*(1+$K$28)-$L$28)</f>
        <v/>
      </c>
      <c r="IG79">
        <f>IG78-MIN(IG78,IF79)</f>
        <v/>
      </c>
      <c r="IH79">
        <f>IF79-(IG78-IG79)</f>
        <v/>
      </c>
      <c r="II79">
        <f>MAX(0,IH79*(1+$K$28)-$L$28)</f>
        <v/>
      </c>
      <c r="IJ79">
        <f>IJ78-MIN(IJ78,II79)</f>
        <v/>
      </c>
      <c r="IK79">
        <f>II79-(IJ78-IJ79)</f>
        <v/>
      </c>
      <c r="IL79">
        <f>MAX(0,IK79*(1+$K$28)-$L$28)</f>
        <v/>
      </c>
      <c r="IM79">
        <f>IM78-MIN(IM78,IL79)</f>
        <v/>
      </c>
      <c r="IN79">
        <f>IL79-(IM78-IM79)</f>
        <v/>
      </c>
      <c r="IO79">
        <f>MAX(0,IN79*(1+$K$28)-$L$28)</f>
        <v/>
      </c>
      <c r="IP79">
        <f>IP78-MIN(IP78,IO79)</f>
        <v/>
      </c>
      <c r="IQ79">
        <f>IO79-(IP78-IP79)</f>
        <v/>
      </c>
      <c r="IR79">
        <f>MAX(0,IQ79*(1+$K$28)-$L$28)</f>
        <v/>
      </c>
      <c r="IS79">
        <f>IS78-MIN(IS78,IR79)</f>
        <v/>
      </c>
      <c r="IT79">
        <f>IR79-(IS78-IS79)</f>
        <v/>
      </c>
      <c r="IU79">
        <f>MAX(0,IT79*(1+$K$28)-$L$28)</f>
        <v/>
      </c>
      <c r="IV79">
        <f>IV78-MIN(IV78,IU79)</f>
        <v/>
      </c>
      <c r="IW79">
        <f>IU79-(IV78-IV79)</f>
        <v/>
      </c>
      <c r="IX79">
        <f>MAX(0,IW79*(1+$K$28)-$L$28)</f>
        <v/>
      </c>
      <c r="IY79">
        <f>IY78-MIN(IY78,IX79)</f>
        <v/>
      </c>
      <c r="IZ79">
        <f>IX79-(IY78-IY79)</f>
        <v/>
      </c>
      <c r="JA79">
        <f>MAX(0,IZ79*(1+$K$28)-$L$28)</f>
        <v/>
      </c>
      <c r="JB79">
        <f>JB78-MIN(JB78,JA79)</f>
        <v/>
      </c>
      <c r="JC79">
        <f>JA79-(JB78-JB79)</f>
        <v/>
      </c>
      <c r="JD79">
        <f>MAX(0,JC79*(1+$K$28)-$L$28)</f>
        <v/>
      </c>
      <c r="JE79">
        <f>JE78-MIN(JE78,JD79)</f>
        <v/>
      </c>
      <c r="JF79">
        <f>JD79-(JE78-JE79)</f>
        <v/>
      </c>
      <c r="JG79">
        <f>MAX(0,JF79*(1+$K$28)-$L$28)</f>
        <v/>
      </c>
      <c r="JH79">
        <f>JH78-MIN(JH78,JG79)</f>
        <v/>
      </c>
      <c r="JI79">
        <f>JG79-(JH78-JH79)</f>
        <v/>
      </c>
      <c r="JJ79">
        <f>MAX(0,JI79*(1+$K$28)-$L$28)</f>
        <v/>
      </c>
      <c r="JK79">
        <f>JK78-MIN(JK78,JJ79)</f>
        <v/>
      </c>
      <c r="JL79">
        <f>JJ79-(JK78-JK79)</f>
        <v/>
      </c>
      <c r="JM79">
        <f>MAX(0,JL79*(1+$K$28)-$L$28)</f>
        <v/>
      </c>
      <c r="JN79">
        <f>JN78-MIN(JN78,JM79)</f>
        <v/>
      </c>
      <c r="JO79">
        <f>JM79-(JN78-JN79)</f>
        <v/>
      </c>
      <c r="JP79">
        <f>MAX(0,JO79*(1+$K$28)-$L$28)</f>
        <v/>
      </c>
      <c r="JQ79">
        <f>JQ78-MIN(JQ78,JP79)</f>
        <v/>
      </c>
      <c r="JR79">
        <f>JP79-(JQ78-JQ79)</f>
        <v/>
      </c>
      <c r="JS79">
        <f>MAX(0,JR79*(1+$K$28)-$L$28)</f>
        <v/>
      </c>
      <c r="JT79">
        <f>JT78-MIN(JT78,JS79)</f>
        <v/>
      </c>
      <c r="JU79">
        <f>JS79-(JT78-JT79)</f>
        <v/>
      </c>
      <c r="JV79">
        <f>MAX(0,JU79*(1+$K$28)-$L$28)</f>
        <v/>
      </c>
      <c r="JW79">
        <f>JW78-MIN(JW78,JV79)</f>
        <v/>
      </c>
      <c r="JX79">
        <f>JV79-(JW78-JW79)</f>
        <v/>
      </c>
      <c r="JY79">
        <f>MAX(0,JX79*(1+$K$28)-$L$28)</f>
        <v/>
      </c>
      <c r="JZ79">
        <f>JZ78-MIN(JZ78,JY79)</f>
        <v/>
      </c>
      <c r="KA79">
        <f>JY79-(JZ78-JZ79)</f>
        <v/>
      </c>
      <c r="KB79">
        <f>MAX(0,KA79*(1+$K$28)-$L$28)</f>
        <v/>
      </c>
      <c r="KC79">
        <f>KC78-MIN(KC78,KB79)</f>
        <v/>
      </c>
      <c r="KD79">
        <f>KB79-(KC78-KC79)</f>
        <v/>
      </c>
      <c r="KE79">
        <f>MAX(0,KD79*(1+$K$28)-$L$28)</f>
        <v/>
      </c>
      <c r="KF79">
        <f>KF78-MIN(KF78,KE79)</f>
        <v/>
      </c>
      <c r="KG79">
        <f>KE79-(KF78-KF79)</f>
        <v/>
      </c>
      <c r="KH79">
        <f>MAX(0,KG79*(1+$K$28)-$L$28)</f>
        <v/>
      </c>
      <c r="KI79">
        <f>KI78-MIN(KI78,KH79)</f>
        <v/>
      </c>
      <c r="KJ79">
        <f>KH79-(KI78-KI79)</f>
        <v/>
      </c>
      <c r="KK79">
        <f>MAX(0,KJ79*(1+$K$28)-$L$28)</f>
        <v/>
      </c>
      <c r="KL79">
        <f>KL78-MIN(KL78,KK79)</f>
        <v/>
      </c>
      <c r="KM79">
        <f>KK79-(KL78-KL79)</f>
        <v/>
      </c>
      <c r="KN79">
        <f>MAX(0,KM79*(1+$K$28)-$L$28)</f>
        <v/>
      </c>
      <c r="KO79">
        <f>KO78-MIN(KO78,KN79)</f>
        <v/>
      </c>
      <c r="KP79">
        <f>KN79-(KO78-KO79)</f>
        <v/>
      </c>
      <c r="KQ79">
        <f>MAX(0,KP79*(1+$K$28)-$L$28)</f>
        <v/>
      </c>
      <c r="KR79">
        <f>KR78-MIN(KR78,KQ79)</f>
        <v/>
      </c>
      <c r="KS79">
        <f>KQ79-(KR78-KR79)</f>
        <v/>
      </c>
      <c r="KT79">
        <f>MAX(0,KS79*(1+$K$28)-$L$28)</f>
        <v/>
      </c>
      <c r="KU79">
        <f>KU78-MIN(KU78,KT79)</f>
        <v/>
      </c>
      <c r="KV79">
        <f>KT79-(KU78-KU79)</f>
        <v/>
      </c>
      <c r="KW79">
        <f>MAX(0,KV79*(1+$K$28)-$L$28)</f>
        <v/>
      </c>
      <c r="KX79">
        <f>KX78-MIN(KX78,KW79)</f>
        <v/>
      </c>
      <c r="KY79">
        <f>KW79-(KX78-KX79)</f>
        <v/>
      </c>
      <c r="KZ79">
        <f>MAX(0,KY79*(1+$K$28)-$L$28)</f>
        <v/>
      </c>
      <c r="LA79">
        <f>LA78-MIN(LA78,KZ79)</f>
        <v/>
      </c>
      <c r="LB79">
        <f>KZ79-(LA78-LA79)</f>
        <v/>
      </c>
      <c r="LC79">
        <f>MAX(0,LB79*(1+$K$28)-$L$28)</f>
        <v/>
      </c>
      <c r="LD79">
        <f>LD78-MIN(LD78,LC79)</f>
        <v/>
      </c>
      <c r="LE79">
        <f>LC79-(LD78-LD79)</f>
        <v/>
      </c>
      <c r="LF79">
        <f>MAX(0,LE79*(1+$K$28)-$L$28)</f>
        <v/>
      </c>
      <c r="LG79">
        <f>LG78-MIN(LG78,LF79)</f>
        <v/>
      </c>
      <c r="LH79">
        <f>LF79-(LG78-LG79)</f>
        <v/>
      </c>
      <c r="LI79">
        <f>MAX(0,LH79*(1+$K$28)-$L$28)</f>
        <v/>
      </c>
      <c r="LJ79">
        <f>LJ78-MIN(LJ78,LI79)</f>
        <v/>
      </c>
      <c r="LK79">
        <f>LI79-(LJ78-LJ79)</f>
        <v/>
      </c>
      <c r="LL79">
        <f>MAX(0,LK79*(1+$K$28)-$L$28)</f>
        <v/>
      </c>
      <c r="LM79">
        <f>LM78-MIN(LM78,LL79)</f>
        <v/>
      </c>
      <c r="LN79">
        <f>LL79-(LM78-LM79)</f>
        <v/>
      </c>
      <c r="LO79">
        <f>MAX(0,LN79*(1+$K$28)-$L$28)</f>
        <v/>
      </c>
      <c r="LP79">
        <f>LP78-MIN(LP78,LO79)</f>
        <v/>
      </c>
      <c r="LQ79">
        <f>LO79-(LP78-LP79)</f>
        <v/>
      </c>
      <c r="LR79">
        <f>MAX(0,LQ79*(1+$K$28)-$L$28)</f>
        <v/>
      </c>
      <c r="LS79">
        <f>LS78-MIN(LS78,LR79)</f>
        <v/>
      </c>
      <c r="LT79">
        <f>LR79-(LS78-LS79)</f>
        <v/>
      </c>
      <c r="LU79">
        <f>MAX(0,LT79*(1+$K$28)-$L$28)</f>
        <v/>
      </c>
      <c r="LV79">
        <f>LV78-MIN(LV78,LU79)</f>
        <v/>
      </c>
      <c r="LW79">
        <f>LU79-(LV78-LV79)</f>
        <v/>
      </c>
      <c r="LX79">
        <f>MAX(0,LW79*(1+$K$28)-$L$28)</f>
        <v/>
      </c>
      <c r="LY79">
        <f>LY78-MIN(LY78,LX79)</f>
        <v/>
      </c>
      <c r="LZ79">
        <f>LX79-(LY78-LY79)</f>
        <v/>
      </c>
      <c r="MA79">
        <f>MAX(0,LZ79*(1+$K$28)-$L$28)</f>
        <v/>
      </c>
      <c r="MB79">
        <f>MB78-MIN(MB78,MA79)</f>
        <v/>
      </c>
      <c r="MC79">
        <f>MA79-(MB78-MB79)</f>
        <v/>
      </c>
      <c r="MD79">
        <f>MAX(0,MC79*(1+$K$28)-$L$28)</f>
        <v/>
      </c>
      <c r="ME79">
        <f>ME78-MIN(ME78,MD79)</f>
        <v/>
      </c>
      <c r="MF79">
        <f>MD79-(ME78-ME79)</f>
        <v/>
      </c>
      <c r="MG79">
        <f>MAX(0,MF79*(1+$K$28)-$L$28)</f>
        <v/>
      </c>
      <c r="MH79">
        <f>MH78-MIN(MH78,MG79)</f>
        <v/>
      </c>
      <c r="MI79">
        <f>MG79-(MH78-MH79)</f>
        <v/>
      </c>
      <c r="MJ79">
        <f>MAX(0,MI79*(1+$K$28)-$L$28)</f>
        <v/>
      </c>
      <c r="MK79">
        <f>MK78-MIN(MK78,MJ79)</f>
        <v/>
      </c>
      <c r="ML79">
        <f>MJ79-(MK78-MK79)</f>
        <v/>
      </c>
      <c r="MM79">
        <f>MAX(0,ML79*(1+$K$28)-$L$28)</f>
        <v/>
      </c>
      <c r="MN79">
        <f>MN78-MIN(MN78,MM79)</f>
        <v/>
      </c>
      <c r="MO79">
        <f>MM79-(MN78-MN79)</f>
        <v/>
      </c>
      <c r="MP79">
        <f>MAX(0,MO79*(1+$K$28)-$L$28)</f>
        <v/>
      </c>
      <c r="MQ79">
        <f>MQ78-MIN(MQ78,MP79)</f>
        <v/>
      </c>
      <c r="MR79">
        <f>MP79-(MQ78-MQ79)</f>
        <v/>
      </c>
      <c r="MS79">
        <f>MAX(0,MR79*(1+$K$28)-$L$28)</f>
        <v/>
      </c>
      <c r="MT79">
        <f>MT78-MIN(MT78,MS79)</f>
        <v/>
      </c>
      <c r="MU79">
        <f>MS79-(MT78-MT79)</f>
        <v/>
      </c>
      <c r="MV79">
        <f>MAX(0,MU79*(1+$K$28)-$L$28)</f>
        <v/>
      </c>
      <c r="MW79">
        <f>MW78-MIN(MW78,MV79)</f>
        <v/>
      </c>
      <c r="MX79">
        <f>MV79-(MW78-MW79)</f>
        <v/>
      </c>
    </row>
    <row r="80">
      <c r="A80" t="inlineStr">
        <is>
          <t>slot 6</t>
        </is>
      </c>
      <c r="B80">
        <f>J29</f>
        <v/>
      </c>
      <c r="C80">
        <f>MAX(0,B80*(1+$K$29)-$L$29)</f>
        <v/>
      </c>
      <c r="D80">
        <f>D79-MIN(D79,C80)</f>
        <v/>
      </c>
      <c r="E80">
        <f>C80-(D79-D80)</f>
        <v/>
      </c>
      <c r="F80">
        <f>MAX(0,E80*(1+$K$29)-$L$29)</f>
        <v/>
      </c>
      <c r="G80">
        <f>G79-MIN(G79,F80)</f>
        <v/>
      </c>
      <c r="H80">
        <f>F80-(G79-G80)</f>
        <v/>
      </c>
      <c r="I80">
        <f>MAX(0,H80*(1+$K$29)-$L$29)</f>
        <v/>
      </c>
      <c r="J80">
        <f>J79-MIN(J79,I80)</f>
        <v/>
      </c>
      <c r="K80">
        <f>I80-(J79-J80)</f>
        <v/>
      </c>
      <c r="L80">
        <f>MAX(0,K80*(1+$K$29)-$L$29)</f>
        <v/>
      </c>
      <c r="M80">
        <f>M79-MIN(M79,L80)</f>
        <v/>
      </c>
      <c r="N80">
        <f>L80-(M79-M80)</f>
        <v/>
      </c>
      <c r="O80">
        <f>MAX(0,N80*(1+$K$29)-$L$29)</f>
        <v/>
      </c>
      <c r="P80">
        <f>P79-MIN(P79,O80)</f>
        <v/>
      </c>
      <c r="Q80">
        <f>O80-(P79-P80)</f>
        <v/>
      </c>
      <c r="R80">
        <f>MAX(0,Q80*(1+$K$29)-$L$29)</f>
        <v/>
      </c>
      <c r="S80">
        <f>S79-MIN(S79,R80)</f>
        <v/>
      </c>
      <c r="T80">
        <f>R80-(S79-S80)</f>
        <v/>
      </c>
      <c r="U80">
        <f>MAX(0,T80*(1+$K$29)-$L$29)</f>
        <v/>
      </c>
      <c r="V80">
        <f>V79-MIN(V79,U80)</f>
        <v/>
      </c>
      <c r="W80">
        <f>U80-(V79-V80)</f>
        <v/>
      </c>
      <c r="X80">
        <f>MAX(0,W80*(1+$K$29)-$L$29)</f>
        <v/>
      </c>
      <c r="Y80">
        <f>Y79-MIN(Y79,X80)</f>
        <v/>
      </c>
      <c r="Z80">
        <f>X80-(Y79-Y80)</f>
        <v/>
      </c>
      <c r="AA80">
        <f>MAX(0,Z80*(1+$K$29)-$L$29)</f>
        <v/>
      </c>
      <c r="AB80">
        <f>AB79-MIN(AB79,AA80)</f>
        <v/>
      </c>
      <c r="AC80">
        <f>AA80-(AB79-AB80)</f>
        <v/>
      </c>
      <c r="AD80">
        <f>MAX(0,AC80*(1+$K$29)-$L$29)</f>
        <v/>
      </c>
      <c r="AE80">
        <f>AE79-MIN(AE79,AD80)</f>
        <v/>
      </c>
      <c r="AF80">
        <f>AD80-(AE79-AE80)</f>
        <v/>
      </c>
      <c r="AG80">
        <f>MAX(0,AF80*(1+$K$29)-$L$29)</f>
        <v/>
      </c>
      <c r="AH80">
        <f>AH79-MIN(AH79,AG80)</f>
        <v/>
      </c>
      <c r="AI80">
        <f>AG80-(AH79-AH80)</f>
        <v/>
      </c>
      <c r="AJ80">
        <f>MAX(0,AI80*(1+$K$29)-$L$29)</f>
        <v/>
      </c>
      <c r="AK80">
        <f>AK79-MIN(AK79,AJ80)</f>
        <v/>
      </c>
      <c r="AL80">
        <f>AJ80-(AK79-AK80)</f>
        <v/>
      </c>
      <c r="AM80">
        <f>MAX(0,AL80*(1+$K$29)-$L$29)</f>
        <v/>
      </c>
      <c r="AN80">
        <f>AN79-MIN(AN79,AM80)</f>
        <v/>
      </c>
      <c r="AO80">
        <f>AM80-(AN79-AN80)</f>
        <v/>
      </c>
      <c r="AP80">
        <f>MAX(0,AO80*(1+$K$29)-$L$29)</f>
        <v/>
      </c>
      <c r="AQ80">
        <f>AQ79-MIN(AQ79,AP80)</f>
        <v/>
      </c>
      <c r="AR80">
        <f>AP80-(AQ79-AQ80)</f>
        <v/>
      </c>
      <c r="AS80">
        <f>MAX(0,AR80*(1+$K$29)-$L$29)</f>
        <v/>
      </c>
      <c r="AT80">
        <f>AT79-MIN(AT79,AS80)</f>
        <v/>
      </c>
      <c r="AU80">
        <f>AS80-(AT79-AT80)</f>
        <v/>
      </c>
      <c r="AV80">
        <f>MAX(0,AU80*(1+$K$29)-$L$29)</f>
        <v/>
      </c>
      <c r="AW80">
        <f>AW79-MIN(AW79,AV80)</f>
        <v/>
      </c>
      <c r="AX80">
        <f>AV80-(AW79-AW80)</f>
        <v/>
      </c>
      <c r="AY80">
        <f>MAX(0,AX80*(1+$K$29)-$L$29)</f>
        <v/>
      </c>
      <c r="AZ80">
        <f>AZ79-MIN(AZ79,AY80)</f>
        <v/>
      </c>
      <c r="BA80">
        <f>AY80-(AZ79-AZ80)</f>
        <v/>
      </c>
      <c r="BB80">
        <f>MAX(0,BA80*(1+$K$29)-$L$29)</f>
        <v/>
      </c>
      <c r="BC80">
        <f>BC79-MIN(BC79,BB80)</f>
        <v/>
      </c>
      <c r="BD80">
        <f>BB80-(BC79-BC80)</f>
        <v/>
      </c>
      <c r="BE80">
        <f>MAX(0,BD80*(1+$K$29)-$L$29)</f>
        <v/>
      </c>
      <c r="BF80">
        <f>BF79-MIN(BF79,BE80)</f>
        <v/>
      </c>
      <c r="BG80">
        <f>BE80-(BF79-BF80)</f>
        <v/>
      </c>
      <c r="BH80">
        <f>MAX(0,BG80*(1+$K$29)-$L$29)</f>
        <v/>
      </c>
      <c r="BI80">
        <f>BI79-MIN(BI79,BH80)</f>
        <v/>
      </c>
      <c r="BJ80">
        <f>BH80-(BI79-BI80)</f>
        <v/>
      </c>
      <c r="BK80">
        <f>MAX(0,BJ80*(1+$K$29)-$L$29)</f>
        <v/>
      </c>
      <c r="BL80">
        <f>BL79-MIN(BL79,BK80)</f>
        <v/>
      </c>
      <c r="BM80">
        <f>BK80-(BL79-BL80)</f>
        <v/>
      </c>
      <c r="BN80">
        <f>MAX(0,BM80*(1+$K$29)-$L$29)</f>
        <v/>
      </c>
      <c r="BO80">
        <f>BO79-MIN(BO79,BN80)</f>
        <v/>
      </c>
      <c r="BP80">
        <f>BN80-(BO79-BO80)</f>
        <v/>
      </c>
      <c r="BQ80">
        <f>MAX(0,BP80*(1+$K$29)-$L$29)</f>
        <v/>
      </c>
      <c r="BR80">
        <f>BR79-MIN(BR79,BQ80)</f>
        <v/>
      </c>
      <c r="BS80">
        <f>BQ80-(BR79-BR80)</f>
        <v/>
      </c>
      <c r="BT80">
        <f>MAX(0,BS80*(1+$K$29)-$L$29)</f>
        <v/>
      </c>
      <c r="BU80">
        <f>BU79-MIN(BU79,BT80)</f>
        <v/>
      </c>
      <c r="BV80">
        <f>BT80-(BU79-BU80)</f>
        <v/>
      </c>
      <c r="BW80">
        <f>MAX(0,BV80*(1+$K$29)-$L$29)</f>
        <v/>
      </c>
      <c r="BX80">
        <f>BX79-MIN(BX79,BW80)</f>
        <v/>
      </c>
      <c r="BY80">
        <f>BW80-(BX79-BX80)</f>
        <v/>
      </c>
      <c r="BZ80">
        <f>MAX(0,BY80*(1+$K$29)-$L$29)</f>
        <v/>
      </c>
      <c r="CA80">
        <f>CA79-MIN(CA79,BZ80)</f>
        <v/>
      </c>
      <c r="CB80">
        <f>BZ80-(CA79-CA80)</f>
        <v/>
      </c>
      <c r="CC80">
        <f>MAX(0,CB80*(1+$K$29)-$L$29)</f>
        <v/>
      </c>
      <c r="CD80">
        <f>CD79-MIN(CD79,CC80)</f>
        <v/>
      </c>
      <c r="CE80">
        <f>CC80-(CD79-CD80)</f>
        <v/>
      </c>
      <c r="CF80">
        <f>MAX(0,CE80*(1+$K$29)-$L$29)</f>
        <v/>
      </c>
      <c r="CG80">
        <f>CG79-MIN(CG79,CF80)</f>
        <v/>
      </c>
      <c r="CH80">
        <f>CF80-(CG79-CG80)</f>
        <v/>
      </c>
      <c r="CI80">
        <f>MAX(0,CH80*(1+$K$29)-$L$29)</f>
        <v/>
      </c>
      <c r="CJ80">
        <f>CJ79-MIN(CJ79,CI80)</f>
        <v/>
      </c>
      <c r="CK80">
        <f>CI80-(CJ79-CJ80)</f>
        <v/>
      </c>
      <c r="CL80">
        <f>MAX(0,CK80*(1+$K$29)-$L$29)</f>
        <v/>
      </c>
      <c r="CM80">
        <f>CM79-MIN(CM79,CL80)</f>
        <v/>
      </c>
      <c r="CN80">
        <f>CL80-(CM79-CM80)</f>
        <v/>
      </c>
      <c r="CO80">
        <f>MAX(0,CN80*(1+$K$29)-$L$29)</f>
        <v/>
      </c>
      <c r="CP80">
        <f>CP79-MIN(CP79,CO80)</f>
        <v/>
      </c>
      <c r="CQ80">
        <f>CO80-(CP79-CP80)</f>
        <v/>
      </c>
      <c r="CR80">
        <f>MAX(0,CQ80*(1+$K$29)-$L$29)</f>
        <v/>
      </c>
      <c r="CS80">
        <f>CS79-MIN(CS79,CR80)</f>
        <v/>
      </c>
      <c r="CT80">
        <f>CR80-(CS79-CS80)</f>
        <v/>
      </c>
      <c r="CU80">
        <f>MAX(0,CT80*(1+$K$29)-$L$29)</f>
        <v/>
      </c>
      <c r="CV80">
        <f>CV79-MIN(CV79,CU80)</f>
        <v/>
      </c>
      <c r="CW80">
        <f>CU80-(CV79-CV80)</f>
        <v/>
      </c>
      <c r="CX80">
        <f>MAX(0,CW80*(1+$K$29)-$L$29)</f>
        <v/>
      </c>
      <c r="CY80">
        <f>CY79-MIN(CY79,CX80)</f>
        <v/>
      </c>
      <c r="CZ80">
        <f>CX80-(CY79-CY80)</f>
        <v/>
      </c>
      <c r="DA80">
        <f>MAX(0,CZ80*(1+$K$29)-$L$29)</f>
        <v/>
      </c>
      <c r="DB80">
        <f>DB79-MIN(DB79,DA80)</f>
        <v/>
      </c>
      <c r="DC80">
        <f>DA80-(DB79-DB80)</f>
        <v/>
      </c>
      <c r="DD80">
        <f>MAX(0,DC80*(1+$K$29)-$L$29)</f>
        <v/>
      </c>
      <c r="DE80">
        <f>DE79-MIN(DE79,DD80)</f>
        <v/>
      </c>
      <c r="DF80">
        <f>DD80-(DE79-DE80)</f>
        <v/>
      </c>
      <c r="DG80">
        <f>MAX(0,DF80*(1+$K$29)-$L$29)</f>
        <v/>
      </c>
      <c r="DH80">
        <f>DH79-MIN(DH79,DG80)</f>
        <v/>
      </c>
      <c r="DI80">
        <f>DG80-(DH79-DH80)</f>
        <v/>
      </c>
      <c r="DJ80">
        <f>MAX(0,DI80*(1+$K$29)-$L$29)</f>
        <v/>
      </c>
      <c r="DK80">
        <f>DK79-MIN(DK79,DJ80)</f>
        <v/>
      </c>
      <c r="DL80">
        <f>DJ80-(DK79-DK80)</f>
        <v/>
      </c>
      <c r="DM80">
        <f>MAX(0,DL80*(1+$K$29)-$L$29)</f>
        <v/>
      </c>
      <c r="DN80">
        <f>DN79-MIN(DN79,DM80)</f>
        <v/>
      </c>
      <c r="DO80">
        <f>DM80-(DN79-DN80)</f>
        <v/>
      </c>
      <c r="DP80">
        <f>MAX(0,DO80*(1+$K$29)-$L$29)</f>
        <v/>
      </c>
      <c r="DQ80">
        <f>DQ79-MIN(DQ79,DP80)</f>
        <v/>
      </c>
      <c r="DR80">
        <f>DP80-(DQ79-DQ80)</f>
        <v/>
      </c>
      <c r="DS80">
        <f>MAX(0,DR80*(1+$K$29)-$L$29)</f>
        <v/>
      </c>
      <c r="DT80">
        <f>DT79-MIN(DT79,DS80)</f>
        <v/>
      </c>
      <c r="DU80">
        <f>DS80-(DT79-DT80)</f>
        <v/>
      </c>
      <c r="DV80">
        <f>MAX(0,DU80*(1+$K$29)-$L$29)</f>
        <v/>
      </c>
      <c r="DW80">
        <f>DW79-MIN(DW79,DV80)</f>
        <v/>
      </c>
      <c r="DX80">
        <f>DV80-(DW79-DW80)</f>
        <v/>
      </c>
      <c r="DY80">
        <f>MAX(0,DX80*(1+$K$29)-$L$29)</f>
        <v/>
      </c>
      <c r="DZ80">
        <f>DZ79-MIN(DZ79,DY80)</f>
        <v/>
      </c>
      <c r="EA80">
        <f>DY80-(DZ79-DZ80)</f>
        <v/>
      </c>
      <c r="EB80">
        <f>MAX(0,EA80*(1+$K$29)-$L$29)</f>
        <v/>
      </c>
      <c r="EC80">
        <f>EC79-MIN(EC79,EB80)</f>
        <v/>
      </c>
      <c r="ED80">
        <f>EB80-(EC79-EC80)</f>
        <v/>
      </c>
      <c r="EE80">
        <f>MAX(0,ED80*(1+$K$29)-$L$29)</f>
        <v/>
      </c>
      <c r="EF80">
        <f>EF79-MIN(EF79,EE80)</f>
        <v/>
      </c>
      <c r="EG80">
        <f>EE80-(EF79-EF80)</f>
        <v/>
      </c>
      <c r="EH80">
        <f>MAX(0,EG80*(1+$K$29)-$L$29)</f>
        <v/>
      </c>
      <c r="EI80">
        <f>EI79-MIN(EI79,EH80)</f>
        <v/>
      </c>
      <c r="EJ80">
        <f>EH80-(EI79-EI80)</f>
        <v/>
      </c>
      <c r="EK80">
        <f>MAX(0,EJ80*(1+$K$29)-$L$29)</f>
        <v/>
      </c>
      <c r="EL80">
        <f>EL79-MIN(EL79,EK80)</f>
        <v/>
      </c>
      <c r="EM80">
        <f>EK80-(EL79-EL80)</f>
        <v/>
      </c>
      <c r="EN80">
        <f>MAX(0,EM80*(1+$K$29)-$L$29)</f>
        <v/>
      </c>
      <c r="EO80">
        <f>EO79-MIN(EO79,EN80)</f>
        <v/>
      </c>
      <c r="EP80">
        <f>EN80-(EO79-EO80)</f>
        <v/>
      </c>
      <c r="EQ80">
        <f>MAX(0,EP80*(1+$K$29)-$L$29)</f>
        <v/>
      </c>
      <c r="ER80">
        <f>ER79-MIN(ER79,EQ80)</f>
        <v/>
      </c>
      <c r="ES80">
        <f>EQ80-(ER79-ER80)</f>
        <v/>
      </c>
      <c r="ET80">
        <f>MAX(0,ES80*(1+$K$29)-$L$29)</f>
        <v/>
      </c>
      <c r="EU80">
        <f>EU79-MIN(EU79,ET80)</f>
        <v/>
      </c>
      <c r="EV80">
        <f>ET80-(EU79-EU80)</f>
        <v/>
      </c>
      <c r="EW80">
        <f>MAX(0,EV80*(1+$K$29)-$L$29)</f>
        <v/>
      </c>
      <c r="EX80">
        <f>EX79-MIN(EX79,EW80)</f>
        <v/>
      </c>
      <c r="EY80">
        <f>EW80-(EX79-EX80)</f>
        <v/>
      </c>
      <c r="EZ80">
        <f>MAX(0,EY80*(1+$K$29)-$L$29)</f>
        <v/>
      </c>
      <c r="FA80">
        <f>FA79-MIN(FA79,EZ80)</f>
        <v/>
      </c>
      <c r="FB80">
        <f>EZ80-(FA79-FA80)</f>
        <v/>
      </c>
      <c r="FC80">
        <f>MAX(0,FB80*(1+$K$29)-$L$29)</f>
        <v/>
      </c>
      <c r="FD80">
        <f>FD79-MIN(FD79,FC80)</f>
        <v/>
      </c>
      <c r="FE80">
        <f>FC80-(FD79-FD80)</f>
        <v/>
      </c>
      <c r="FF80">
        <f>MAX(0,FE80*(1+$K$29)-$L$29)</f>
        <v/>
      </c>
      <c r="FG80">
        <f>FG79-MIN(FG79,FF80)</f>
        <v/>
      </c>
      <c r="FH80">
        <f>FF80-(FG79-FG80)</f>
        <v/>
      </c>
      <c r="FI80">
        <f>MAX(0,FH80*(1+$K$29)-$L$29)</f>
        <v/>
      </c>
      <c r="FJ80">
        <f>FJ79-MIN(FJ79,FI80)</f>
        <v/>
      </c>
      <c r="FK80">
        <f>FI80-(FJ79-FJ80)</f>
        <v/>
      </c>
      <c r="FL80">
        <f>MAX(0,FK80*(1+$K$29)-$L$29)</f>
        <v/>
      </c>
      <c r="FM80">
        <f>FM79-MIN(FM79,FL80)</f>
        <v/>
      </c>
      <c r="FN80">
        <f>FL80-(FM79-FM80)</f>
        <v/>
      </c>
      <c r="FO80">
        <f>MAX(0,FN80*(1+$K$29)-$L$29)</f>
        <v/>
      </c>
      <c r="FP80">
        <f>FP79-MIN(FP79,FO80)</f>
        <v/>
      </c>
      <c r="FQ80">
        <f>FO80-(FP79-FP80)</f>
        <v/>
      </c>
      <c r="FR80">
        <f>MAX(0,FQ80*(1+$K$29)-$L$29)</f>
        <v/>
      </c>
      <c r="FS80">
        <f>FS79-MIN(FS79,FR80)</f>
        <v/>
      </c>
      <c r="FT80">
        <f>FR80-(FS79-FS80)</f>
        <v/>
      </c>
      <c r="FU80">
        <f>MAX(0,FT80*(1+$K$29)-$L$29)</f>
        <v/>
      </c>
      <c r="FV80">
        <f>FV79-MIN(FV79,FU80)</f>
        <v/>
      </c>
      <c r="FW80">
        <f>FU80-(FV79-FV80)</f>
        <v/>
      </c>
      <c r="FX80">
        <f>MAX(0,FW80*(1+$K$29)-$L$29)</f>
        <v/>
      </c>
      <c r="FY80">
        <f>FY79-MIN(FY79,FX80)</f>
        <v/>
      </c>
      <c r="FZ80">
        <f>FX80-(FY79-FY80)</f>
        <v/>
      </c>
      <c r="GA80">
        <f>MAX(0,FZ80*(1+$K$29)-$L$29)</f>
        <v/>
      </c>
      <c r="GB80">
        <f>GB79-MIN(GB79,GA80)</f>
        <v/>
      </c>
      <c r="GC80">
        <f>GA80-(GB79-GB80)</f>
        <v/>
      </c>
      <c r="GD80">
        <f>MAX(0,GC80*(1+$K$29)-$L$29)</f>
        <v/>
      </c>
      <c r="GE80">
        <f>GE79-MIN(GE79,GD80)</f>
        <v/>
      </c>
      <c r="GF80">
        <f>GD80-(GE79-GE80)</f>
        <v/>
      </c>
      <c r="GG80">
        <f>MAX(0,GF80*(1+$K$29)-$L$29)</f>
        <v/>
      </c>
      <c r="GH80">
        <f>GH79-MIN(GH79,GG80)</f>
        <v/>
      </c>
      <c r="GI80">
        <f>GG80-(GH79-GH80)</f>
        <v/>
      </c>
      <c r="GJ80">
        <f>MAX(0,GI80*(1+$K$29)-$L$29)</f>
        <v/>
      </c>
      <c r="GK80">
        <f>GK79-MIN(GK79,GJ80)</f>
        <v/>
      </c>
      <c r="GL80">
        <f>GJ80-(GK79-GK80)</f>
        <v/>
      </c>
      <c r="GM80">
        <f>MAX(0,GL80*(1+$K$29)-$L$29)</f>
        <v/>
      </c>
      <c r="GN80">
        <f>GN79-MIN(GN79,GM80)</f>
        <v/>
      </c>
      <c r="GO80">
        <f>GM80-(GN79-GN80)</f>
        <v/>
      </c>
      <c r="GP80">
        <f>MAX(0,GO80*(1+$K$29)-$L$29)</f>
        <v/>
      </c>
      <c r="GQ80">
        <f>GQ79-MIN(GQ79,GP80)</f>
        <v/>
      </c>
      <c r="GR80">
        <f>GP80-(GQ79-GQ80)</f>
        <v/>
      </c>
      <c r="GS80">
        <f>MAX(0,GR80*(1+$K$29)-$L$29)</f>
        <v/>
      </c>
      <c r="GT80">
        <f>GT79-MIN(GT79,GS80)</f>
        <v/>
      </c>
      <c r="GU80">
        <f>GS80-(GT79-GT80)</f>
        <v/>
      </c>
      <c r="GV80">
        <f>MAX(0,GU80*(1+$K$29)-$L$29)</f>
        <v/>
      </c>
      <c r="GW80">
        <f>GW79-MIN(GW79,GV80)</f>
        <v/>
      </c>
      <c r="GX80">
        <f>GV80-(GW79-GW80)</f>
        <v/>
      </c>
      <c r="GY80">
        <f>MAX(0,GX80*(1+$K$29)-$L$29)</f>
        <v/>
      </c>
      <c r="GZ80">
        <f>GZ79-MIN(GZ79,GY80)</f>
        <v/>
      </c>
      <c r="HA80">
        <f>GY80-(GZ79-GZ80)</f>
        <v/>
      </c>
      <c r="HB80">
        <f>MAX(0,HA80*(1+$K$29)-$L$29)</f>
        <v/>
      </c>
      <c r="HC80">
        <f>HC79-MIN(HC79,HB80)</f>
        <v/>
      </c>
      <c r="HD80">
        <f>HB80-(HC79-HC80)</f>
        <v/>
      </c>
      <c r="HE80">
        <f>MAX(0,HD80*(1+$K$29)-$L$29)</f>
        <v/>
      </c>
      <c r="HF80">
        <f>HF79-MIN(HF79,HE80)</f>
        <v/>
      </c>
      <c r="HG80">
        <f>HE80-(HF79-HF80)</f>
        <v/>
      </c>
      <c r="HH80">
        <f>MAX(0,HG80*(1+$K$29)-$L$29)</f>
        <v/>
      </c>
      <c r="HI80">
        <f>HI79-MIN(HI79,HH80)</f>
        <v/>
      </c>
      <c r="HJ80">
        <f>HH80-(HI79-HI80)</f>
        <v/>
      </c>
      <c r="HK80">
        <f>MAX(0,HJ80*(1+$K$29)-$L$29)</f>
        <v/>
      </c>
      <c r="HL80">
        <f>HL79-MIN(HL79,HK80)</f>
        <v/>
      </c>
      <c r="HM80">
        <f>HK80-(HL79-HL80)</f>
        <v/>
      </c>
      <c r="HN80">
        <f>MAX(0,HM80*(1+$K$29)-$L$29)</f>
        <v/>
      </c>
      <c r="HO80">
        <f>HO79-MIN(HO79,HN80)</f>
        <v/>
      </c>
      <c r="HP80">
        <f>HN80-(HO79-HO80)</f>
        <v/>
      </c>
      <c r="HQ80">
        <f>MAX(0,HP80*(1+$K$29)-$L$29)</f>
        <v/>
      </c>
      <c r="HR80">
        <f>HR79-MIN(HR79,HQ80)</f>
        <v/>
      </c>
      <c r="HS80">
        <f>HQ80-(HR79-HR80)</f>
        <v/>
      </c>
      <c r="HT80">
        <f>MAX(0,HS80*(1+$K$29)-$L$29)</f>
        <v/>
      </c>
      <c r="HU80">
        <f>HU79-MIN(HU79,HT80)</f>
        <v/>
      </c>
      <c r="HV80">
        <f>HT80-(HU79-HU80)</f>
        <v/>
      </c>
      <c r="HW80">
        <f>MAX(0,HV80*(1+$K$29)-$L$29)</f>
        <v/>
      </c>
      <c r="HX80">
        <f>HX79-MIN(HX79,HW80)</f>
        <v/>
      </c>
      <c r="HY80">
        <f>HW80-(HX79-HX80)</f>
        <v/>
      </c>
      <c r="HZ80">
        <f>MAX(0,HY80*(1+$K$29)-$L$29)</f>
        <v/>
      </c>
      <c r="IA80">
        <f>IA79-MIN(IA79,HZ80)</f>
        <v/>
      </c>
      <c r="IB80">
        <f>HZ80-(IA79-IA80)</f>
        <v/>
      </c>
      <c r="IC80">
        <f>MAX(0,IB80*(1+$K$29)-$L$29)</f>
        <v/>
      </c>
      <c r="ID80">
        <f>ID79-MIN(ID79,IC80)</f>
        <v/>
      </c>
      <c r="IE80">
        <f>IC80-(ID79-ID80)</f>
        <v/>
      </c>
      <c r="IF80">
        <f>MAX(0,IE80*(1+$K$29)-$L$29)</f>
        <v/>
      </c>
      <c r="IG80">
        <f>IG79-MIN(IG79,IF80)</f>
        <v/>
      </c>
      <c r="IH80">
        <f>IF80-(IG79-IG80)</f>
        <v/>
      </c>
      <c r="II80">
        <f>MAX(0,IH80*(1+$K$29)-$L$29)</f>
        <v/>
      </c>
      <c r="IJ80">
        <f>IJ79-MIN(IJ79,II80)</f>
        <v/>
      </c>
      <c r="IK80">
        <f>II80-(IJ79-IJ80)</f>
        <v/>
      </c>
      <c r="IL80">
        <f>MAX(0,IK80*(1+$K$29)-$L$29)</f>
        <v/>
      </c>
      <c r="IM80">
        <f>IM79-MIN(IM79,IL80)</f>
        <v/>
      </c>
      <c r="IN80">
        <f>IL80-(IM79-IM80)</f>
        <v/>
      </c>
      <c r="IO80">
        <f>MAX(0,IN80*(1+$K$29)-$L$29)</f>
        <v/>
      </c>
      <c r="IP80">
        <f>IP79-MIN(IP79,IO80)</f>
        <v/>
      </c>
      <c r="IQ80">
        <f>IO80-(IP79-IP80)</f>
        <v/>
      </c>
      <c r="IR80">
        <f>MAX(0,IQ80*(1+$K$29)-$L$29)</f>
        <v/>
      </c>
      <c r="IS80">
        <f>IS79-MIN(IS79,IR80)</f>
        <v/>
      </c>
      <c r="IT80">
        <f>IR80-(IS79-IS80)</f>
        <v/>
      </c>
      <c r="IU80">
        <f>MAX(0,IT80*(1+$K$29)-$L$29)</f>
        <v/>
      </c>
      <c r="IV80">
        <f>IV79-MIN(IV79,IU80)</f>
        <v/>
      </c>
      <c r="IW80">
        <f>IU80-(IV79-IV80)</f>
        <v/>
      </c>
      <c r="IX80">
        <f>MAX(0,IW80*(1+$K$29)-$L$29)</f>
        <v/>
      </c>
      <c r="IY80">
        <f>IY79-MIN(IY79,IX80)</f>
        <v/>
      </c>
      <c r="IZ80">
        <f>IX80-(IY79-IY80)</f>
        <v/>
      </c>
      <c r="JA80">
        <f>MAX(0,IZ80*(1+$K$29)-$L$29)</f>
        <v/>
      </c>
      <c r="JB80">
        <f>JB79-MIN(JB79,JA80)</f>
        <v/>
      </c>
      <c r="JC80">
        <f>JA80-(JB79-JB80)</f>
        <v/>
      </c>
      <c r="JD80">
        <f>MAX(0,JC80*(1+$K$29)-$L$29)</f>
        <v/>
      </c>
      <c r="JE80">
        <f>JE79-MIN(JE79,JD80)</f>
        <v/>
      </c>
      <c r="JF80">
        <f>JD80-(JE79-JE80)</f>
        <v/>
      </c>
      <c r="JG80">
        <f>MAX(0,JF80*(1+$K$29)-$L$29)</f>
        <v/>
      </c>
      <c r="JH80">
        <f>JH79-MIN(JH79,JG80)</f>
        <v/>
      </c>
      <c r="JI80">
        <f>JG80-(JH79-JH80)</f>
        <v/>
      </c>
      <c r="JJ80">
        <f>MAX(0,JI80*(1+$K$29)-$L$29)</f>
        <v/>
      </c>
      <c r="JK80">
        <f>JK79-MIN(JK79,JJ80)</f>
        <v/>
      </c>
      <c r="JL80">
        <f>JJ80-(JK79-JK80)</f>
        <v/>
      </c>
      <c r="JM80">
        <f>MAX(0,JL80*(1+$K$29)-$L$29)</f>
        <v/>
      </c>
      <c r="JN80">
        <f>JN79-MIN(JN79,JM80)</f>
        <v/>
      </c>
      <c r="JO80">
        <f>JM80-(JN79-JN80)</f>
        <v/>
      </c>
      <c r="JP80">
        <f>MAX(0,JO80*(1+$K$29)-$L$29)</f>
        <v/>
      </c>
      <c r="JQ80">
        <f>JQ79-MIN(JQ79,JP80)</f>
        <v/>
      </c>
      <c r="JR80">
        <f>JP80-(JQ79-JQ80)</f>
        <v/>
      </c>
      <c r="JS80">
        <f>MAX(0,JR80*(1+$K$29)-$L$29)</f>
        <v/>
      </c>
      <c r="JT80">
        <f>JT79-MIN(JT79,JS80)</f>
        <v/>
      </c>
      <c r="JU80">
        <f>JS80-(JT79-JT80)</f>
        <v/>
      </c>
      <c r="JV80">
        <f>MAX(0,JU80*(1+$K$29)-$L$29)</f>
        <v/>
      </c>
      <c r="JW80">
        <f>JW79-MIN(JW79,JV80)</f>
        <v/>
      </c>
      <c r="JX80">
        <f>JV80-(JW79-JW80)</f>
        <v/>
      </c>
      <c r="JY80">
        <f>MAX(0,JX80*(1+$K$29)-$L$29)</f>
        <v/>
      </c>
      <c r="JZ80">
        <f>JZ79-MIN(JZ79,JY80)</f>
        <v/>
      </c>
      <c r="KA80">
        <f>JY80-(JZ79-JZ80)</f>
        <v/>
      </c>
      <c r="KB80">
        <f>MAX(0,KA80*(1+$K$29)-$L$29)</f>
        <v/>
      </c>
      <c r="KC80">
        <f>KC79-MIN(KC79,KB80)</f>
        <v/>
      </c>
      <c r="KD80">
        <f>KB80-(KC79-KC80)</f>
        <v/>
      </c>
      <c r="KE80">
        <f>MAX(0,KD80*(1+$K$29)-$L$29)</f>
        <v/>
      </c>
      <c r="KF80">
        <f>KF79-MIN(KF79,KE80)</f>
        <v/>
      </c>
      <c r="KG80">
        <f>KE80-(KF79-KF80)</f>
        <v/>
      </c>
      <c r="KH80">
        <f>MAX(0,KG80*(1+$K$29)-$L$29)</f>
        <v/>
      </c>
      <c r="KI80">
        <f>KI79-MIN(KI79,KH80)</f>
        <v/>
      </c>
      <c r="KJ80">
        <f>KH80-(KI79-KI80)</f>
        <v/>
      </c>
      <c r="KK80">
        <f>MAX(0,KJ80*(1+$K$29)-$L$29)</f>
        <v/>
      </c>
      <c r="KL80">
        <f>KL79-MIN(KL79,KK80)</f>
        <v/>
      </c>
      <c r="KM80">
        <f>KK80-(KL79-KL80)</f>
        <v/>
      </c>
      <c r="KN80">
        <f>MAX(0,KM80*(1+$K$29)-$L$29)</f>
        <v/>
      </c>
      <c r="KO80">
        <f>KO79-MIN(KO79,KN80)</f>
        <v/>
      </c>
      <c r="KP80">
        <f>KN80-(KO79-KO80)</f>
        <v/>
      </c>
      <c r="KQ80">
        <f>MAX(0,KP80*(1+$K$29)-$L$29)</f>
        <v/>
      </c>
      <c r="KR80">
        <f>KR79-MIN(KR79,KQ80)</f>
        <v/>
      </c>
      <c r="KS80">
        <f>KQ80-(KR79-KR80)</f>
        <v/>
      </c>
      <c r="KT80">
        <f>MAX(0,KS80*(1+$K$29)-$L$29)</f>
        <v/>
      </c>
      <c r="KU80">
        <f>KU79-MIN(KU79,KT80)</f>
        <v/>
      </c>
      <c r="KV80">
        <f>KT80-(KU79-KU80)</f>
        <v/>
      </c>
      <c r="KW80">
        <f>MAX(0,KV80*(1+$K$29)-$L$29)</f>
        <v/>
      </c>
      <c r="KX80">
        <f>KX79-MIN(KX79,KW80)</f>
        <v/>
      </c>
      <c r="KY80">
        <f>KW80-(KX79-KX80)</f>
        <v/>
      </c>
      <c r="KZ80">
        <f>MAX(0,KY80*(1+$K$29)-$L$29)</f>
        <v/>
      </c>
      <c r="LA80">
        <f>LA79-MIN(LA79,KZ80)</f>
        <v/>
      </c>
      <c r="LB80">
        <f>KZ80-(LA79-LA80)</f>
        <v/>
      </c>
      <c r="LC80">
        <f>MAX(0,LB80*(1+$K$29)-$L$29)</f>
        <v/>
      </c>
      <c r="LD80">
        <f>LD79-MIN(LD79,LC80)</f>
        <v/>
      </c>
      <c r="LE80">
        <f>LC80-(LD79-LD80)</f>
        <v/>
      </c>
      <c r="LF80">
        <f>MAX(0,LE80*(1+$K$29)-$L$29)</f>
        <v/>
      </c>
      <c r="LG80">
        <f>LG79-MIN(LG79,LF80)</f>
        <v/>
      </c>
      <c r="LH80">
        <f>LF80-(LG79-LG80)</f>
        <v/>
      </c>
      <c r="LI80">
        <f>MAX(0,LH80*(1+$K$29)-$L$29)</f>
        <v/>
      </c>
      <c r="LJ80">
        <f>LJ79-MIN(LJ79,LI80)</f>
        <v/>
      </c>
      <c r="LK80">
        <f>LI80-(LJ79-LJ80)</f>
        <v/>
      </c>
      <c r="LL80">
        <f>MAX(0,LK80*(1+$K$29)-$L$29)</f>
        <v/>
      </c>
      <c r="LM80">
        <f>LM79-MIN(LM79,LL80)</f>
        <v/>
      </c>
      <c r="LN80">
        <f>LL80-(LM79-LM80)</f>
        <v/>
      </c>
      <c r="LO80">
        <f>MAX(0,LN80*(1+$K$29)-$L$29)</f>
        <v/>
      </c>
      <c r="LP80">
        <f>LP79-MIN(LP79,LO80)</f>
        <v/>
      </c>
      <c r="LQ80">
        <f>LO80-(LP79-LP80)</f>
        <v/>
      </c>
      <c r="LR80">
        <f>MAX(0,LQ80*(1+$K$29)-$L$29)</f>
        <v/>
      </c>
      <c r="LS80">
        <f>LS79-MIN(LS79,LR80)</f>
        <v/>
      </c>
      <c r="LT80">
        <f>LR80-(LS79-LS80)</f>
        <v/>
      </c>
      <c r="LU80">
        <f>MAX(0,LT80*(1+$K$29)-$L$29)</f>
        <v/>
      </c>
      <c r="LV80">
        <f>LV79-MIN(LV79,LU80)</f>
        <v/>
      </c>
      <c r="LW80">
        <f>LU80-(LV79-LV80)</f>
        <v/>
      </c>
      <c r="LX80">
        <f>MAX(0,LW80*(1+$K$29)-$L$29)</f>
        <v/>
      </c>
      <c r="LY80">
        <f>LY79-MIN(LY79,LX80)</f>
        <v/>
      </c>
      <c r="LZ80">
        <f>LX80-(LY79-LY80)</f>
        <v/>
      </c>
      <c r="MA80">
        <f>MAX(0,LZ80*(1+$K$29)-$L$29)</f>
        <v/>
      </c>
      <c r="MB80">
        <f>MB79-MIN(MB79,MA80)</f>
        <v/>
      </c>
      <c r="MC80">
        <f>MA80-(MB79-MB80)</f>
        <v/>
      </c>
      <c r="MD80">
        <f>MAX(0,MC80*(1+$K$29)-$L$29)</f>
        <v/>
      </c>
      <c r="ME80">
        <f>ME79-MIN(ME79,MD80)</f>
        <v/>
      </c>
      <c r="MF80">
        <f>MD80-(ME79-ME80)</f>
        <v/>
      </c>
      <c r="MG80">
        <f>MAX(0,MF80*(1+$K$29)-$L$29)</f>
        <v/>
      </c>
      <c r="MH80">
        <f>MH79-MIN(MH79,MG80)</f>
        <v/>
      </c>
      <c r="MI80">
        <f>MG80-(MH79-MH80)</f>
        <v/>
      </c>
      <c r="MJ80">
        <f>MAX(0,MI80*(1+$K$29)-$L$29)</f>
        <v/>
      </c>
      <c r="MK80">
        <f>MK79-MIN(MK79,MJ80)</f>
        <v/>
      </c>
      <c r="ML80">
        <f>MJ80-(MK79-MK80)</f>
        <v/>
      </c>
      <c r="MM80">
        <f>MAX(0,ML80*(1+$K$29)-$L$29)</f>
        <v/>
      </c>
      <c r="MN80">
        <f>MN79-MIN(MN79,MM80)</f>
        <v/>
      </c>
      <c r="MO80">
        <f>MM80-(MN79-MN80)</f>
        <v/>
      </c>
      <c r="MP80">
        <f>MAX(0,MO80*(1+$K$29)-$L$29)</f>
        <v/>
      </c>
      <c r="MQ80">
        <f>MQ79-MIN(MQ79,MP80)</f>
        <v/>
      </c>
      <c r="MR80">
        <f>MP80-(MQ79-MQ80)</f>
        <v/>
      </c>
      <c r="MS80">
        <f>MAX(0,MR80*(1+$K$29)-$L$29)</f>
        <v/>
      </c>
      <c r="MT80">
        <f>MT79-MIN(MT79,MS80)</f>
        <v/>
      </c>
      <c r="MU80">
        <f>MS80-(MT79-MT80)</f>
        <v/>
      </c>
      <c r="MV80">
        <f>MAX(0,MU80*(1+$K$29)-$L$29)</f>
        <v/>
      </c>
      <c r="MW80">
        <f>MW79-MIN(MW79,MV80)</f>
        <v/>
      </c>
      <c r="MX80">
        <f>MV80-(MW79-MW80)</f>
        <v/>
      </c>
    </row>
    <row r="81">
      <c r="A81" t="inlineStr">
        <is>
          <t>slot 7</t>
        </is>
      </c>
      <c r="B81">
        <f>J30</f>
        <v/>
      </c>
      <c r="C81">
        <f>MAX(0,B81*(1+$K$30)-$L$30)</f>
        <v/>
      </c>
      <c r="D81">
        <f>D80-MIN(D80,C81)</f>
        <v/>
      </c>
      <c r="E81">
        <f>C81-(D80-D81)</f>
        <v/>
      </c>
      <c r="F81">
        <f>MAX(0,E81*(1+$K$30)-$L$30)</f>
        <v/>
      </c>
      <c r="G81">
        <f>G80-MIN(G80,F81)</f>
        <v/>
      </c>
      <c r="H81">
        <f>F81-(G80-G81)</f>
        <v/>
      </c>
      <c r="I81">
        <f>MAX(0,H81*(1+$K$30)-$L$30)</f>
        <v/>
      </c>
      <c r="J81">
        <f>J80-MIN(J80,I81)</f>
        <v/>
      </c>
      <c r="K81">
        <f>I81-(J80-J81)</f>
        <v/>
      </c>
      <c r="L81">
        <f>MAX(0,K81*(1+$K$30)-$L$30)</f>
        <v/>
      </c>
      <c r="M81">
        <f>M80-MIN(M80,L81)</f>
        <v/>
      </c>
      <c r="N81">
        <f>L81-(M80-M81)</f>
        <v/>
      </c>
      <c r="O81">
        <f>MAX(0,N81*(1+$K$30)-$L$30)</f>
        <v/>
      </c>
      <c r="P81">
        <f>P80-MIN(P80,O81)</f>
        <v/>
      </c>
      <c r="Q81">
        <f>O81-(P80-P81)</f>
        <v/>
      </c>
      <c r="R81">
        <f>MAX(0,Q81*(1+$K$30)-$L$30)</f>
        <v/>
      </c>
      <c r="S81">
        <f>S80-MIN(S80,R81)</f>
        <v/>
      </c>
      <c r="T81">
        <f>R81-(S80-S81)</f>
        <v/>
      </c>
      <c r="U81">
        <f>MAX(0,T81*(1+$K$30)-$L$30)</f>
        <v/>
      </c>
      <c r="V81">
        <f>V80-MIN(V80,U81)</f>
        <v/>
      </c>
      <c r="W81">
        <f>U81-(V80-V81)</f>
        <v/>
      </c>
      <c r="X81">
        <f>MAX(0,W81*(1+$K$30)-$L$30)</f>
        <v/>
      </c>
      <c r="Y81">
        <f>Y80-MIN(Y80,X81)</f>
        <v/>
      </c>
      <c r="Z81">
        <f>X81-(Y80-Y81)</f>
        <v/>
      </c>
      <c r="AA81">
        <f>MAX(0,Z81*(1+$K$30)-$L$30)</f>
        <v/>
      </c>
      <c r="AB81">
        <f>AB80-MIN(AB80,AA81)</f>
        <v/>
      </c>
      <c r="AC81">
        <f>AA81-(AB80-AB81)</f>
        <v/>
      </c>
      <c r="AD81">
        <f>MAX(0,AC81*(1+$K$30)-$L$30)</f>
        <v/>
      </c>
      <c r="AE81">
        <f>AE80-MIN(AE80,AD81)</f>
        <v/>
      </c>
      <c r="AF81">
        <f>AD81-(AE80-AE81)</f>
        <v/>
      </c>
      <c r="AG81">
        <f>MAX(0,AF81*(1+$K$30)-$L$30)</f>
        <v/>
      </c>
      <c r="AH81">
        <f>AH80-MIN(AH80,AG81)</f>
        <v/>
      </c>
      <c r="AI81">
        <f>AG81-(AH80-AH81)</f>
        <v/>
      </c>
      <c r="AJ81">
        <f>MAX(0,AI81*(1+$K$30)-$L$30)</f>
        <v/>
      </c>
      <c r="AK81">
        <f>AK80-MIN(AK80,AJ81)</f>
        <v/>
      </c>
      <c r="AL81">
        <f>AJ81-(AK80-AK81)</f>
        <v/>
      </c>
      <c r="AM81">
        <f>MAX(0,AL81*(1+$K$30)-$L$30)</f>
        <v/>
      </c>
      <c r="AN81">
        <f>AN80-MIN(AN80,AM81)</f>
        <v/>
      </c>
      <c r="AO81">
        <f>AM81-(AN80-AN81)</f>
        <v/>
      </c>
      <c r="AP81">
        <f>MAX(0,AO81*(1+$K$30)-$L$30)</f>
        <v/>
      </c>
      <c r="AQ81">
        <f>AQ80-MIN(AQ80,AP81)</f>
        <v/>
      </c>
      <c r="AR81">
        <f>AP81-(AQ80-AQ81)</f>
        <v/>
      </c>
      <c r="AS81">
        <f>MAX(0,AR81*(1+$K$30)-$L$30)</f>
        <v/>
      </c>
      <c r="AT81">
        <f>AT80-MIN(AT80,AS81)</f>
        <v/>
      </c>
      <c r="AU81">
        <f>AS81-(AT80-AT81)</f>
        <v/>
      </c>
      <c r="AV81">
        <f>MAX(0,AU81*(1+$K$30)-$L$30)</f>
        <v/>
      </c>
      <c r="AW81">
        <f>AW80-MIN(AW80,AV81)</f>
        <v/>
      </c>
      <c r="AX81">
        <f>AV81-(AW80-AW81)</f>
        <v/>
      </c>
      <c r="AY81">
        <f>MAX(0,AX81*(1+$K$30)-$L$30)</f>
        <v/>
      </c>
      <c r="AZ81">
        <f>AZ80-MIN(AZ80,AY81)</f>
        <v/>
      </c>
      <c r="BA81">
        <f>AY81-(AZ80-AZ81)</f>
        <v/>
      </c>
      <c r="BB81">
        <f>MAX(0,BA81*(1+$K$30)-$L$30)</f>
        <v/>
      </c>
      <c r="BC81">
        <f>BC80-MIN(BC80,BB81)</f>
        <v/>
      </c>
      <c r="BD81">
        <f>BB81-(BC80-BC81)</f>
        <v/>
      </c>
      <c r="BE81">
        <f>MAX(0,BD81*(1+$K$30)-$L$30)</f>
        <v/>
      </c>
      <c r="BF81">
        <f>BF80-MIN(BF80,BE81)</f>
        <v/>
      </c>
      <c r="BG81">
        <f>BE81-(BF80-BF81)</f>
        <v/>
      </c>
      <c r="BH81">
        <f>MAX(0,BG81*(1+$K$30)-$L$30)</f>
        <v/>
      </c>
      <c r="BI81">
        <f>BI80-MIN(BI80,BH81)</f>
        <v/>
      </c>
      <c r="BJ81">
        <f>BH81-(BI80-BI81)</f>
        <v/>
      </c>
      <c r="BK81">
        <f>MAX(0,BJ81*(1+$K$30)-$L$30)</f>
        <v/>
      </c>
      <c r="BL81">
        <f>BL80-MIN(BL80,BK81)</f>
        <v/>
      </c>
      <c r="BM81">
        <f>BK81-(BL80-BL81)</f>
        <v/>
      </c>
      <c r="BN81">
        <f>MAX(0,BM81*(1+$K$30)-$L$30)</f>
        <v/>
      </c>
      <c r="BO81">
        <f>BO80-MIN(BO80,BN81)</f>
        <v/>
      </c>
      <c r="BP81">
        <f>BN81-(BO80-BO81)</f>
        <v/>
      </c>
      <c r="BQ81">
        <f>MAX(0,BP81*(1+$K$30)-$L$30)</f>
        <v/>
      </c>
      <c r="BR81">
        <f>BR80-MIN(BR80,BQ81)</f>
        <v/>
      </c>
      <c r="BS81">
        <f>BQ81-(BR80-BR81)</f>
        <v/>
      </c>
      <c r="BT81">
        <f>MAX(0,BS81*(1+$K$30)-$L$30)</f>
        <v/>
      </c>
      <c r="BU81">
        <f>BU80-MIN(BU80,BT81)</f>
        <v/>
      </c>
      <c r="BV81">
        <f>BT81-(BU80-BU81)</f>
        <v/>
      </c>
      <c r="BW81">
        <f>MAX(0,BV81*(1+$K$30)-$L$30)</f>
        <v/>
      </c>
      <c r="BX81">
        <f>BX80-MIN(BX80,BW81)</f>
        <v/>
      </c>
      <c r="BY81">
        <f>BW81-(BX80-BX81)</f>
        <v/>
      </c>
      <c r="BZ81">
        <f>MAX(0,BY81*(1+$K$30)-$L$30)</f>
        <v/>
      </c>
      <c r="CA81">
        <f>CA80-MIN(CA80,BZ81)</f>
        <v/>
      </c>
      <c r="CB81">
        <f>BZ81-(CA80-CA81)</f>
        <v/>
      </c>
      <c r="CC81">
        <f>MAX(0,CB81*(1+$K$30)-$L$30)</f>
        <v/>
      </c>
      <c r="CD81">
        <f>CD80-MIN(CD80,CC81)</f>
        <v/>
      </c>
      <c r="CE81">
        <f>CC81-(CD80-CD81)</f>
        <v/>
      </c>
      <c r="CF81">
        <f>MAX(0,CE81*(1+$K$30)-$L$30)</f>
        <v/>
      </c>
      <c r="CG81">
        <f>CG80-MIN(CG80,CF81)</f>
        <v/>
      </c>
      <c r="CH81">
        <f>CF81-(CG80-CG81)</f>
        <v/>
      </c>
      <c r="CI81">
        <f>MAX(0,CH81*(1+$K$30)-$L$30)</f>
        <v/>
      </c>
      <c r="CJ81">
        <f>CJ80-MIN(CJ80,CI81)</f>
        <v/>
      </c>
      <c r="CK81">
        <f>CI81-(CJ80-CJ81)</f>
        <v/>
      </c>
      <c r="CL81">
        <f>MAX(0,CK81*(1+$K$30)-$L$30)</f>
        <v/>
      </c>
      <c r="CM81">
        <f>CM80-MIN(CM80,CL81)</f>
        <v/>
      </c>
      <c r="CN81">
        <f>CL81-(CM80-CM81)</f>
        <v/>
      </c>
      <c r="CO81">
        <f>MAX(0,CN81*(1+$K$30)-$L$30)</f>
        <v/>
      </c>
      <c r="CP81">
        <f>CP80-MIN(CP80,CO81)</f>
        <v/>
      </c>
      <c r="CQ81">
        <f>CO81-(CP80-CP81)</f>
        <v/>
      </c>
      <c r="CR81">
        <f>MAX(0,CQ81*(1+$K$30)-$L$30)</f>
        <v/>
      </c>
      <c r="CS81">
        <f>CS80-MIN(CS80,CR81)</f>
        <v/>
      </c>
      <c r="CT81">
        <f>CR81-(CS80-CS81)</f>
        <v/>
      </c>
      <c r="CU81">
        <f>MAX(0,CT81*(1+$K$30)-$L$30)</f>
        <v/>
      </c>
      <c r="CV81">
        <f>CV80-MIN(CV80,CU81)</f>
        <v/>
      </c>
      <c r="CW81">
        <f>CU81-(CV80-CV81)</f>
        <v/>
      </c>
      <c r="CX81">
        <f>MAX(0,CW81*(1+$K$30)-$L$30)</f>
        <v/>
      </c>
      <c r="CY81">
        <f>CY80-MIN(CY80,CX81)</f>
        <v/>
      </c>
      <c r="CZ81">
        <f>CX81-(CY80-CY81)</f>
        <v/>
      </c>
      <c r="DA81">
        <f>MAX(0,CZ81*(1+$K$30)-$L$30)</f>
        <v/>
      </c>
      <c r="DB81">
        <f>DB80-MIN(DB80,DA81)</f>
        <v/>
      </c>
      <c r="DC81">
        <f>DA81-(DB80-DB81)</f>
        <v/>
      </c>
      <c r="DD81">
        <f>MAX(0,DC81*(1+$K$30)-$L$30)</f>
        <v/>
      </c>
      <c r="DE81">
        <f>DE80-MIN(DE80,DD81)</f>
        <v/>
      </c>
      <c r="DF81">
        <f>DD81-(DE80-DE81)</f>
        <v/>
      </c>
      <c r="DG81">
        <f>MAX(0,DF81*(1+$K$30)-$L$30)</f>
        <v/>
      </c>
      <c r="DH81">
        <f>DH80-MIN(DH80,DG81)</f>
        <v/>
      </c>
      <c r="DI81">
        <f>DG81-(DH80-DH81)</f>
        <v/>
      </c>
      <c r="DJ81">
        <f>MAX(0,DI81*(1+$K$30)-$L$30)</f>
        <v/>
      </c>
      <c r="DK81">
        <f>DK80-MIN(DK80,DJ81)</f>
        <v/>
      </c>
      <c r="DL81">
        <f>DJ81-(DK80-DK81)</f>
        <v/>
      </c>
      <c r="DM81">
        <f>MAX(0,DL81*(1+$K$30)-$L$30)</f>
        <v/>
      </c>
      <c r="DN81">
        <f>DN80-MIN(DN80,DM81)</f>
        <v/>
      </c>
      <c r="DO81">
        <f>DM81-(DN80-DN81)</f>
        <v/>
      </c>
      <c r="DP81">
        <f>MAX(0,DO81*(1+$K$30)-$L$30)</f>
        <v/>
      </c>
      <c r="DQ81">
        <f>DQ80-MIN(DQ80,DP81)</f>
        <v/>
      </c>
      <c r="DR81">
        <f>DP81-(DQ80-DQ81)</f>
        <v/>
      </c>
      <c r="DS81">
        <f>MAX(0,DR81*(1+$K$30)-$L$30)</f>
        <v/>
      </c>
      <c r="DT81">
        <f>DT80-MIN(DT80,DS81)</f>
        <v/>
      </c>
      <c r="DU81">
        <f>DS81-(DT80-DT81)</f>
        <v/>
      </c>
      <c r="DV81">
        <f>MAX(0,DU81*(1+$K$30)-$L$30)</f>
        <v/>
      </c>
      <c r="DW81">
        <f>DW80-MIN(DW80,DV81)</f>
        <v/>
      </c>
      <c r="DX81">
        <f>DV81-(DW80-DW81)</f>
        <v/>
      </c>
      <c r="DY81">
        <f>MAX(0,DX81*(1+$K$30)-$L$30)</f>
        <v/>
      </c>
      <c r="DZ81">
        <f>DZ80-MIN(DZ80,DY81)</f>
        <v/>
      </c>
      <c r="EA81">
        <f>DY81-(DZ80-DZ81)</f>
        <v/>
      </c>
      <c r="EB81">
        <f>MAX(0,EA81*(1+$K$30)-$L$30)</f>
        <v/>
      </c>
      <c r="EC81">
        <f>EC80-MIN(EC80,EB81)</f>
        <v/>
      </c>
      <c r="ED81">
        <f>EB81-(EC80-EC81)</f>
        <v/>
      </c>
      <c r="EE81">
        <f>MAX(0,ED81*(1+$K$30)-$L$30)</f>
        <v/>
      </c>
      <c r="EF81">
        <f>EF80-MIN(EF80,EE81)</f>
        <v/>
      </c>
      <c r="EG81">
        <f>EE81-(EF80-EF81)</f>
        <v/>
      </c>
      <c r="EH81">
        <f>MAX(0,EG81*(1+$K$30)-$L$30)</f>
        <v/>
      </c>
      <c r="EI81">
        <f>EI80-MIN(EI80,EH81)</f>
        <v/>
      </c>
      <c r="EJ81">
        <f>EH81-(EI80-EI81)</f>
        <v/>
      </c>
      <c r="EK81">
        <f>MAX(0,EJ81*(1+$K$30)-$L$30)</f>
        <v/>
      </c>
      <c r="EL81">
        <f>EL80-MIN(EL80,EK81)</f>
        <v/>
      </c>
      <c r="EM81">
        <f>EK81-(EL80-EL81)</f>
        <v/>
      </c>
      <c r="EN81">
        <f>MAX(0,EM81*(1+$K$30)-$L$30)</f>
        <v/>
      </c>
      <c r="EO81">
        <f>EO80-MIN(EO80,EN81)</f>
        <v/>
      </c>
      <c r="EP81">
        <f>EN81-(EO80-EO81)</f>
        <v/>
      </c>
      <c r="EQ81">
        <f>MAX(0,EP81*(1+$K$30)-$L$30)</f>
        <v/>
      </c>
      <c r="ER81">
        <f>ER80-MIN(ER80,EQ81)</f>
        <v/>
      </c>
      <c r="ES81">
        <f>EQ81-(ER80-ER81)</f>
        <v/>
      </c>
      <c r="ET81">
        <f>MAX(0,ES81*(1+$K$30)-$L$30)</f>
        <v/>
      </c>
      <c r="EU81">
        <f>EU80-MIN(EU80,ET81)</f>
        <v/>
      </c>
      <c r="EV81">
        <f>ET81-(EU80-EU81)</f>
        <v/>
      </c>
      <c r="EW81">
        <f>MAX(0,EV81*(1+$K$30)-$L$30)</f>
        <v/>
      </c>
      <c r="EX81">
        <f>EX80-MIN(EX80,EW81)</f>
        <v/>
      </c>
      <c r="EY81">
        <f>EW81-(EX80-EX81)</f>
        <v/>
      </c>
      <c r="EZ81">
        <f>MAX(0,EY81*(1+$K$30)-$L$30)</f>
        <v/>
      </c>
      <c r="FA81">
        <f>FA80-MIN(FA80,EZ81)</f>
        <v/>
      </c>
      <c r="FB81">
        <f>EZ81-(FA80-FA81)</f>
        <v/>
      </c>
      <c r="FC81">
        <f>MAX(0,FB81*(1+$K$30)-$L$30)</f>
        <v/>
      </c>
      <c r="FD81">
        <f>FD80-MIN(FD80,FC81)</f>
        <v/>
      </c>
      <c r="FE81">
        <f>FC81-(FD80-FD81)</f>
        <v/>
      </c>
      <c r="FF81">
        <f>MAX(0,FE81*(1+$K$30)-$L$30)</f>
        <v/>
      </c>
      <c r="FG81">
        <f>FG80-MIN(FG80,FF81)</f>
        <v/>
      </c>
      <c r="FH81">
        <f>FF81-(FG80-FG81)</f>
        <v/>
      </c>
      <c r="FI81">
        <f>MAX(0,FH81*(1+$K$30)-$L$30)</f>
        <v/>
      </c>
      <c r="FJ81">
        <f>FJ80-MIN(FJ80,FI81)</f>
        <v/>
      </c>
      <c r="FK81">
        <f>FI81-(FJ80-FJ81)</f>
        <v/>
      </c>
      <c r="FL81">
        <f>MAX(0,FK81*(1+$K$30)-$L$30)</f>
        <v/>
      </c>
      <c r="FM81">
        <f>FM80-MIN(FM80,FL81)</f>
        <v/>
      </c>
      <c r="FN81">
        <f>FL81-(FM80-FM81)</f>
        <v/>
      </c>
      <c r="FO81">
        <f>MAX(0,FN81*(1+$K$30)-$L$30)</f>
        <v/>
      </c>
      <c r="FP81">
        <f>FP80-MIN(FP80,FO81)</f>
        <v/>
      </c>
      <c r="FQ81">
        <f>FO81-(FP80-FP81)</f>
        <v/>
      </c>
      <c r="FR81">
        <f>MAX(0,FQ81*(1+$K$30)-$L$30)</f>
        <v/>
      </c>
      <c r="FS81">
        <f>FS80-MIN(FS80,FR81)</f>
        <v/>
      </c>
      <c r="FT81">
        <f>FR81-(FS80-FS81)</f>
        <v/>
      </c>
      <c r="FU81">
        <f>MAX(0,FT81*(1+$K$30)-$L$30)</f>
        <v/>
      </c>
      <c r="FV81">
        <f>FV80-MIN(FV80,FU81)</f>
        <v/>
      </c>
      <c r="FW81">
        <f>FU81-(FV80-FV81)</f>
        <v/>
      </c>
      <c r="FX81">
        <f>MAX(0,FW81*(1+$K$30)-$L$30)</f>
        <v/>
      </c>
      <c r="FY81">
        <f>FY80-MIN(FY80,FX81)</f>
        <v/>
      </c>
      <c r="FZ81">
        <f>FX81-(FY80-FY81)</f>
        <v/>
      </c>
      <c r="GA81">
        <f>MAX(0,FZ81*(1+$K$30)-$L$30)</f>
        <v/>
      </c>
      <c r="GB81">
        <f>GB80-MIN(GB80,GA81)</f>
        <v/>
      </c>
      <c r="GC81">
        <f>GA81-(GB80-GB81)</f>
        <v/>
      </c>
      <c r="GD81">
        <f>MAX(0,GC81*(1+$K$30)-$L$30)</f>
        <v/>
      </c>
      <c r="GE81">
        <f>GE80-MIN(GE80,GD81)</f>
        <v/>
      </c>
      <c r="GF81">
        <f>GD81-(GE80-GE81)</f>
        <v/>
      </c>
      <c r="GG81">
        <f>MAX(0,GF81*(1+$K$30)-$L$30)</f>
        <v/>
      </c>
      <c r="GH81">
        <f>GH80-MIN(GH80,GG81)</f>
        <v/>
      </c>
      <c r="GI81">
        <f>GG81-(GH80-GH81)</f>
        <v/>
      </c>
      <c r="GJ81">
        <f>MAX(0,GI81*(1+$K$30)-$L$30)</f>
        <v/>
      </c>
      <c r="GK81">
        <f>GK80-MIN(GK80,GJ81)</f>
        <v/>
      </c>
      <c r="GL81">
        <f>GJ81-(GK80-GK81)</f>
        <v/>
      </c>
      <c r="GM81">
        <f>MAX(0,GL81*(1+$K$30)-$L$30)</f>
        <v/>
      </c>
      <c r="GN81">
        <f>GN80-MIN(GN80,GM81)</f>
        <v/>
      </c>
      <c r="GO81">
        <f>GM81-(GN80-GN81)</f>
        <v/>
      </c>
      <c r="GP81">
        <f>MAX(0,GO81*(1+$K$30)-$L$30)</f>
        <v/>
      </c>
      <c r="GQ81">
        <f>GQ80-MIN(GQ80,GP81)</f>
        <v/>
      </c>
      <c r="GR81">
        <f>GP81-(GQ80-GQ81)</f>
        <v/>
      </c>
      <c r="GS81">
        <f>MAX(0,GR81*(1+$K$30)-$L$30)</f>
        <v/>
      </c>
      <c r="GT81">
        <f>GT80-MIN(GT80,GS81)</f>
        <v/>
      </c>
      <c r="GU81">
        <f>GS81-(GT80-GT81)</f>
        <v/>
      </c>
      <c r="GV81">
        <f>MAX(0,GU81*(1+$K$30)-$L$30)</f>
        <v/>
      </c>
      <c r="GW81">
        <f>GW80-MIN(GW80,GV81)</f>
        <v/>
      </c>
      <c r="GX81">
        <f>GV81-(GW80-GW81)</f>
        <v/>
      </c>
      <c r="GY81">
        <f>MAX(0,GX81*(1+$K$30)-$L$30)</f>
        <v/>
      </c>
      <c r="GZ81">
        <f>GZ80-MIN(GZ80,GY81)</f>
        <v/>
      </c>
      <c r="HA81">
        <f>GY81-(GZ80-GZ81)</f>
        <v/>
      </c>
      <c r="HB81">
        <f>MAX(0,HA81*(1+$K$30)-$L$30)</f>
        <v/>
      </c>
      <c r="HC81">
        <f>HC80-MIN(HC80,HB81)</f>
        <v/>
      </c>
      <c r="HD81">
        <f>HB81-(HC80-HC81)</f>
        <v/>
      </c>
      <c r="HE81">
        <f>MAX(0,HD81*(1+$K$30)-$L$30)</f>
        <v/>
      </c>
      <c r="HF81">
        <f>HF80-MIN(HF80,HE81)</f>
        <v/>
      </c>
      <c r="HG81">
        <f>HE81-(HF80-HF81)</f>
        <v/>
      </c>
      <c r="HH81">
        <f>MAX(0,HG81*(1+$K$30)-$L$30)</f>
        <v/>
      </c>
      <c r="HI81">
        <f>HI80-MIN(HI80,HH81)</f>
        <v/>
      </c>
      <c r="HJ81">
        <f>HH81-(HI80-HI81)</f>
        <v/>
      </c>
      <c r="HK81">
        <f>MAX(0,HJ81*(1+$K$30)-$L$30)</f>
        <v/>
      </c>
      <c r="HL81">
        <f>HL80-MIN(HL80,HK81)</f>
        <v/>
      </c>
      <c r="HM81">
        <f>HK81-(HL80-HL81)</f>
        <v/>
      </c>
      <c r="HN81">
        <f>MAX(0,HM81*(1+$K$30)-$L$30)</f>
        <v/>
      </c>
      <c r="HO81">
        <f>HO80-MIN(HO80,HN81)</f>
        <v/>
      </c>
      <c r="HP81">
        <f>HN81-(HO80-HO81)</f>
        <v/>
      </c>
      <c r="HQ81">
        <f>MAX(0,HP81*(1+$K$30)-$L$30)</f>
        <v/>
      </c>
      <c r="HR81">
        <f>HR80-MIN(HR80,HQ81)</f>
        <v/>
      </c>
      <c r="HS81">
        <f>HQ81-(HR80-HR81)</f>
        <v/>
      </c>
      <c r="HT81">
        <f>MAX(0,HS81*(1+$K$30)-$L$30)</f>
        <v/>
      </c>
      <c r="HU81">
        <f>HU80-MIN(HU80,HT81)</f>
        <v/>
      </c>
      <c r="HV81">
        <f>HT81-(HU80-HU81)</f>
        <v/>
      </c>
      <c r="HW81">
        <f>MAX(0,HV81*(1+$K$30)-$L$30)</f>
        <v/>
      </c>
      <c r="HX81">
        <f>HX80-MIN(HX80,HW81)</f>
        <v/>
      </c>
      <c r="HY81">
        <f>HW81-(HX80-HX81)</f>
        <v/>
      </c>
      <c r="HZ81">
        <f>MAX(0,HY81*(1+$K$30)-$L$30)</f>
        <v/>
      </c>
      <c r="IA81">
        <f>IA80-MIN(IA80,HZ81)</f>
        <v/>
      </c>
      <c r="IB81">
        <f>HZ81-(IA80-IA81)</f>
        <v/>
      </c>
      <c r="IC81">
        <f>MAX(0,IB81*(1+$K$30)-$L$30)</f>
        <v/>
      </c>
      <c r="ID81">
        <f>ID80-MIN(ID80,IC81)</f>
        <v/>
      </c>
      <c r="IE81">
        <f>IC81-(ID80-ID81)</f>
        <v/>
      </c>
      <c r="IF81">
        <f>MAX(0,IE81*(1+$K$30)-$L$30)</f>
        <v/>
      </c>
      <c r="IG81">
        <f>IG80-MIN(IG80,IF81)</f>
        <v/>
      </c>
      <c r="IH81">
        <f>IF81-(IG80-IG81)</f>
        <v/>
      </c>
      <c r="II81">
        <f>MAX(0,IH81*(1+$K$30)-$L$30)</f>
        <v/>
      </c>
      <c r="IJ81">
        <f>IJ80-MIN(IJ80,II81)</f>
        <v/>
      </c>
      <c r="IK81">
        <f>II81-(IJ80-IJ81)</f>
        <v/>
      </c>
      <c r="IL81">
        <f>MAX(0,IK81*(1+$K$30)-$L$30)</f>
        <v/>
      </c>
      <c r="IM81">
        <f>IM80-MIN(IM80,IL81)</f>
        <v/>
      </c>
      <c r="IN81">
        <f>IL81-(IM80-IM81)</f>
        <v/>
      </c>
      <c r="IO81">
        <f>MAX(0,IN81*(1+$K$30)-$L$30)</f>
        <v/>
      </c>
      <c r="IP81">
        <f>IP80-MIN(IP80,IO81)</f>
        <v/>
      </c>
      <c r="IQ81">
        <f>IO81-(IP80-IP81)</f>
        <v/>
      </c>
      <c r="IR81">
        <f>MAX(0,IQ81*(1+$K$30)-$L$30)</f>
        <v/>
      </c>
      <c r="IS81">
        <f>IS80-MIN(IS80,IR81)</f>
        <v/>
      </c>
      <c r="IT81">
        <f>IR81-(IS80-IS81)</f>
        <v/>
      </c>
      <c r="IU81">
        <f>MAX(0,IT81*(1+$K$30)-$L$30)</f>
        <v/>
      </c>
      <c r="IV81">
        <f>IV80-MIN(IV80,IU81)</f>
        <v/>
      </c>
      <c r="IW81">
        <f>IU81-(IV80-IV81)</f>
        <v/>
      </c>
      <c r="IX81">
        <f>MAX(0,IW81*(1+$K$30)-$L$30)</f>
        <v/>
      </c>
      <c r="IY81">
        <f>IY80-MIN(IY80,IX81)</f>
        <v/>
      </c>
      <c r="IZ81">
        <f>IX81-(IY80-IY81)</f>
        <v/>
      </c>
      <c r="JA81">
        <f>MAX(0,IZ81*(1+$K$30)-$L$30)</f>
        <v/>
      </c>
      <c r="JB81">
        <f>JB80-MIN(JB80,JA81)</f>
        <v/>
      </c>
      <c r="JC81">
        <f>JA81-(JB80-JB81)</f>
        <v/>
      </c>
      <c r="JD81">
        <f>MAX(0,JC81*(1+$K$30)-$L$30)</f>
        <v/>
      </c>
      <c r="JE81">
        <f>JE80-MIN(JE80,JD81)</f>
        <v/>
      </c>
      <c r="JF81">
        <f>JD81-(JE80-JE81)</f>
        <v/>
      </c>
      <c r="JG81">
        <f>MAX(0,JF81*(1+$K$30)-$L$30)</f>
        <v/>
      </c>
      <c r="JH81">
        <f>JH80-MIN(JH80,JG81)</f>
        <v/>
      </c>
      <c r="JI81">
        <f>JG81-(JH80-JH81)</f>
        <v/>
      </c>
      <c r="JJ81">
        <f>MAX(0,JI81*(1+$K$30)-$L$30)</f>
        <v/>
      </c>
      <c r="JK81">
        <f>JK80-MIN(JK80,JJ81)</f>
        <v/>
      </c>
      <c r="JL81">
        <f>JJ81-(JK80-JK81)</f>
        <v/>
      </c>
      <c r="JM81">
        <f>MAX(0,JL81*(1+$K$30)-$L$30)</f>
        <v/>
      </c>
      <c r="JN81">
        <f>JN80-MIN(JN80,JM81)</f>
        <v/>
      </c>
      <c r="JO81">
        <f>JM81-(JN80-JN81)</f>
        <v/>
      </c>
      <c r="JP81">
        <f>MAX(0,JO81*(1+$K$30)-$L$30)</f>
        <v/>
      </c>
      <c r="JQ81">
        <f>JQ80-MIN(JQ80,JP81)</f>
        <v/>
      </c>
      <c r="JR81">
        <f>JP81-(JQ80-JQ81)</f>
        <v/>
      </c>
      <c r="JS81">
        <f>MAX(0,JR81*(1+$K$30)-$L$30)</f>
        <v/>
      </c>
      <c r="JT81">
        <f>JT80-MIN(JT80,JS81)</f>
        <v/>
      </c>
      <c r="JU81">
        <f>JS81-(JT80-JT81)</f>
        <v/>
      </c>
      <c r="JV81">
        <f>MAX(0,JU81*(1+$K$30)-$L$30)</f>
        <v/>
      </c>
      <c r="JW81">
        <f>JW80-MIN(JW80,JV81)</f>
        <v/>
      </c>
      <c r="JX81">
        <f>JV81-(JW80-JW81)</f>
        <v/>
      </c>
      <c r="JY81">
        <f>MAX(0,JX81*(1+$K$30)-$L$30)</f>
        <v/>
      </c>
      <c r="JZ81">
        <f>JZ80-MIN(JZ80,JY81)</f>
        <v/>
      </c>
      <c r="KA81">
        <f>JY81-(JZ80-JZ81)</f>
        <v/>
      </c>
      <c r="KB81">
        <f>MAX(0,KA81*(1+$K$30)-$L$30)</f>
        <v/>
      </c>
      <c r="KC81">
        <f>KC80-MIN(KC80,KB81)</f>
        <v/>
      </c>
      <c r="KD81">
        <f>KB81-(KC80-KC81)</f>
        <v/>
      </c>
      <c r="KE81">
        <f>MAX(0,KD81*(1+$K$30)-$L$30)</f>
        <v/>
      </c>
      <c r="KF81">
        <f>KF80-MIN(KF80,KE81)</f>
        <v/>
      </c>
      <c r="KG81">
        <f>KE81-(KF80-KF81)</f>
        <v/>
      </c>
      <c r="KH81">
        <f>MAX(0,KG81*(1+$K$30)-$L$30)</f>
        <v/>
      </c>
      <c r="KI81">
        <f>KI80-MIN(KI80,KH81)</f>
        <v/>
      </c>
      <c r="KJ81">
        <f>KH81-(KI80-KI81)</f>
        <v/>
      </c>
      <c r="KK81">
        <f>MAX(0,KJ81*(1+$K$30)-$L$30)</f>
        <v/>
      </c>
      <c r="KL81">
        <f>KL80-MIN(KL80,KK81)</f>
        <v/>
      </c>
      <c r="KM81">
        <f>KK81-(KL80-KL81)</f>
        <v/>
      </c>
      <c r="KN81">
        <f>MAX(0,KM81*(1+$K$30)-$L$30)</f>
        <v/>
      </c>
      <c r="KO81">
        <f>KO80-MIN(KO80,KN81)</f>
        <v/>
      </c>
      <c r="KP81">
        <f>KN81-(KO80-KO81)</f>
        <v/>
      </c>
      <c r="KQ81">
        <f>MAX(0,KP81*(1+$K$30)-$L$30)</f>
        <v/>
      </c>
      <c r="KR81">
        <f>KR80-MIN(KR80,KQ81)</f>
        <v/>
      </c>
      <c r="KS81">
        <f>KQ81-(KR80-KR81)</f>
        <v/>
      </c>
      <c r="KT81">
        <f>MAX(0,KS81*(1+$K$30)-$L$30)</f>
        <v/>
      </c>
      <c r="KU81">
        <f>KU80-MIN(KU80,KT81)</f>
        <v/>
      </c>
      <c r="KV81">
        <f>KT81-(KU80-KU81)</f>
        <v/>
      </c>
      <c r="KW81">
        <f>MAX(0,KV81*(1+$K$30)-$L$30)</f>
        <v/>
      </c>
      <c r="KX81">
        <f>KX80-MIN(KX80,KW81)</f>
        <v/>
      </c>
      <c r="KY81">
        <f>KW81-(KX80-KX81)</f>
        <v/>
      </c>
      <c r="KZ81">
        <f>MAX(0,KY81*(1+$K$30)-$L$30)</f>
        <v/>
      </c>
      <c r="LA81">
        <f>LA80-MIN(LA80,KZ81)</f>
        <v/>
      </c>
      <c r="LB81">
        <f>KZ81-(LA80-LA81)</f>
        <v/>
      </c>
      <c r="LC81">
        <f>MAX(0,LB81*(1+$K$30)-$L$30)</f>
        <v/>
      </c>
      <c r="LD81">
        <f>LD80-MIN(LD80,LC81)</f>
        <v/>
      </c>
      <c r="LE81">
        <f>LC81-(LD80-LD81)</f>
        <v/>
      </c>
      <c r="LF81">
        <f>MAX(0,LE81*(1+$K$30)-$L$30)</f>
        <v/>
      </c>
      <c r="LG81">
        <f>LG80-MIN(LG80,LF81)</f>
        <v/>
      </c>
      <c r="LH81">
        <f>LF81-(LG80-LG81)</f>
        <v/>
      </c>
      <c r="LI81">
        <f>MAX(0,LH81*(1+$K$30)-$L$30)</f>
        <v/>
      </c>
      <c r="LJ81">
        <f>LJ80-MIN(LJ80,LI81)</f>
        <v/>
      </c>
      <c r="LK81">
        <f>LI81-(LJ80-LJ81)</f>
        <v/>
      </c>
      <c r="LL81">
        <f>MAX(0,LK81*(1+$K$30)-$L$30)</f>
        <v/>
      </c>
      <c r="LM81">
        <f>LM80-MIN(LM80,LL81)</f>
        <v/>
      </c>
      <c r="LN81">
        <f>LL81-(LM80-LM81)</f>
        <v/>
      </c>
      <c r="LO81">
        <f>MAX(0,LN81*(1+$K$30)-$L$30)</f>
        <v/>
      </c>
      <c r="LP81">
        <f>LP80-MIN(LP80,LO81)</f>
        <v/>
      </c>
      <c r="LQ81">
        <f>LO81-(LP80-LP81)</f>
        <v/>
      </c>
      <c r="LR81">
        <f>MAX(0,LQ81*(1+$K$30)-$L$30)</f>
        <v/>
      </c>
      <c r="LS81">
        <f>LS80-MIN(LS80,LR81)</f>
        <v/>
      </c>
      <c r="LT81">
        <f>LR81-(LS80-LS81)</f>
        <v/>
      </c>
      <c r="LU81">
        <f>MAX(0,LT81*(1+$K$30)-$L$30)</f>
        <v/>
      </c>
      <c r="LV81">
        <f>LV80-MIN(LV80,LU81)</f>
        <v/>
      </c>
      <c r="LW81">
        <f>LU81-(LV80-LV81)</f>
        <v/>
      </c>
      <c r="LX81">
        <f>MAX(0,LW81*(1+$K$30)-$L$30)</f>
        <v/>
      </c>
      <c r="LY81">
        <f>LY80-MIN(LY80,LX81)</f>
        <v/>
      </c>
      <c r="LZ81">
        <f>LX81-(LY80-LY81)</f>
        <v/>
      </c>
      <c r="MA81">
        <f>MAX(0,LZ81*(1+$K$30)-$L$30)</f>
        <v/>
      </c>
      <c r="MB81">
        <f>MB80-MIN(MB80,MA81)</f>
        <v/>
      </c>
      <c r="MC81">
        <f>MA81-(MB80-MB81)</f>
        <v/>
      </c>
      <c r="MD81">
        <f>MAX(0,MC81*(1+$K$30)-$L$30)</f>
        <v/>
      </c>
      <c r="ME81">
        <f>ME80-MIN(ME80,MD81)</f>
        <v/>
      </c>
      <c r="MF81">
        <f>MD81-(ME80-ME81)</f>
        <v/>
      </c>
      <c r="MG81">
        <f>MAX(0,MF81*(1+$K$30)-$L$30)</f>
        <v/>
      </c>
      <c r="MH81">
        <f>MH80-MIN(MH80,MG81)</f>
        <v/>
      </c>
      <c r="MI81">
        <f>MG81-(MH80-MH81)</f>
        <v/>
      </c>
      <c r="MJ81">
        <f>MAX(0,MI81*(1+$K$30)-$L$30)</f>
        <v/>
      </c>
      <c r="MK81">
        <f>MK80-MIN(MK80,MJ81)</f>
        <v/>
      </c>
      <c r="ML81">
        <f>MJ81-(MK80-MK81)</f>
        <v/>
      </c>
      <c r="MM81">
        <f>MAX(0,ML81*(1+$K$30)-$L$30)</f>
        <v/>
      </c>
      <c r="MN81">
        <f>MN80-MIN(MN80,MM81)</f>
        <v/>
      </c>
      <c r="MO81">
        <f>MM81-(MN80-MN81)</f>
        <v/>
      </c>
      <c r="MP81">
        <f>MAX(0,MO81*(1+$K$30)-$L$30)</f>
        <v/>
      </c>
      <c r="MQ81">
        <f>MQ80-MIN(MQ80,MP81)</f>
        <v/>
      </c>
      <c r="MR81">
        <f>MP81-(MQ80-MQ81)</f>
        <v/>
      </c>
      <c r="MS81">
        <f>MAX(0,MR81*(1+$K$30)-$L$30)</f>
        <v/>
      </c>
      <c r="MT81">
        <f>MT80-MIN(MT80,MS81)</f>
        <v/>
      </c>
      <c r="MU81">
        <f>MS81-(MT80-MT81)</f>
        <v/>
      </c>
      <c r="MV81">
        <f>MAX(0,MU81*(1+$K$30)-$L$30)</f>
        <v/>
      </c>
      <c r="MW81">
        <f>MW80-MIN(MW80,MV81)</f>
        <v/>
      </c>
      <c r="MX81">
        <f>MV81-(MW80-MW81)</f>
        <v/>
      </c>
    </row>
    <row r="82">
      <c r="A82" t="inlineStr">
        <is>
          <t>slot 8</t>
        </is>
      </c>
      <c r="B82">
        <f>J31</f>
        <v/>
      </c>
      <c r="C82">
        <f>MAX(0,B82*(1+$K$31)-$L$31)</f>
        <v/>
      </c>
      <c r="D82">
        <f>D81-MIN(D81,C82)</f>
        <v/>
      </c>
      <c r="E82">
        <f>C82-(D81-D82)</f>
        <v/>
      </c>
      <c r="F82">
        <f>MAX(0,E82*(1+$K$31)-$L$31)</f>
        <v/>
      </c>
      <c r="G82">
        <f>G81-MIN(G81,F82)</f>
        <v/>
      </c>
      <c r="H82">
        <f>F82-(G81-G82)</f>
        <v/>
      </c>
      <c r="I82">
        <f>MAX(0,H82*(1+$K$31)-$L$31)</f>
        <v/>
      </c>
      <c r="J82">
        <f>J81-MIN(J81,I82)</f>
        <v/>
      </c>
      <c r="K82">
        <f>I82-(J81-J82)</f>
        <v/>
      </c>
      <c r="L82">
        <f>MAX(0,K82*(1+$K$31)-$L$31)</f>
        <v/>
      </c>
      <c r="M82">
        <f>M81-MIN(M81,L82)</f>
        <v/>
      </c>
      <c r="N82">
        <f>L82-(M81-M82)</f>
        <v/>
      </c>
      <c r="O82">
        <f>MAX(0,N82*(1+$K$31)-$L$31)</f>
        <v/>
      </c>
      <c r="P82">
        <f>P81-MIN(P81,O82)</f>
        <v/>
      </c>
      <c r="Q82">
        <f>O82-(P81-P82)</f>
        <v/>
      </c>
      <c r="R82">
        <f>MAX(0,Q82*(1+$K$31)-$L$31)</f>
        <v/>
      </c>
      <c r="S82">
        <f>S81-MIN(S81,R82)</f>
        <v/>
      </c>
      <c r="T82">
        <f>R82-(S81-S82)</f>
        <v/>
      </c>
      <c r="U82">
        <f>MAX(0,T82*(1+$K$31)-$L$31)</f>
        <v/>
      </c>
      <c r="V82">
        <f>V81-MIN(V81,U82)</f>
        <v/>
      </c>
      <c r="W82">
        <f>U82-(V81-V82)</f>
        <v/>
      </c>
      <c r="X82">
        <f>MAX(0,W82*(1+$K$31)-$L$31)</f>
        <v/>
      </c>
      <c r="Y82">
        <f>Y81-MIN(Y81,X82)</f>
        <v/>
      </c>
      <c r="Z82">
        <f>X82-(Y81-Y82)</f>
        <v/>
      </c>
      <c r="AA82">
        <f>MAX(0,Z82*(1+$K$31)-$L$31)</f>
        <v/>
      </c>
      <c r="AB82">
        <f>AB81-MIN(AB81,AA82)</f>
        <v/>
      </c>
      <c r="AC82">
        <f>AA82-(AB81-AB82)</f>
        <v/>
      </c>
      <c r="AD82">
        <f>MAX(0,AC82*(1+$K$31)-$L$31)</f>
        <v/>
      </c>
      <c r="AE82">
        <f>AE81-MIN(AE81,AD82)</f>
        <v/>
      </c>
      <c r="AF82">
        <f>AD82-(AE81-AE82)</f>
        <v/>
      </c>
      <c r="AG82">
        <f>MAX(0,AF82*(1+$K$31)-$L$31)</f>
        <v/>
      </c>
      <c r="AH82">
        <f>AH81-MIN(AH81,AG82)</f>
        <v/>
      </c>
      <c r="AI82">
        <f>AG82-(AH81-AH82)</f>
        <v/>
      </c>
      <c r="AJ82">
        <f>MAX(0,AI82*(1+$K$31)-$L$31)</f>
        <v/>
      </c>
      <c r="AK82">
        <f>AK81-MIN(AK81,AJ82)</f>
        <v/>
      </c>
      <c r="AL82">
        <f>AJ82-(AK81-AK82)</f>
        <v/>
      </c>
      <c r="AM82">
        <f>MAX(0,AL82*(1+$K$31)-$L$31)</f>
        <v/>
      </c>
      <c r="AN82">
        <f>AN81-MIN(AN81,AM82)</f>
        <v/>
      </c>
      <c r="AO82">
        <f>AM82-(AN81-AN82)</f>
        <v/>
      </c>
      <c r="AP82">
        <f>MAX(0,AO82*(1+$K$31)-$L$31)</f>
        <v/>
      </c>
      <c r="AQ82">
        <f>AQ81-MIN(AQ81,AP82)</f>
        <v/>
      </c>
      <c r="AR82">
        <f>AP82-(AQ81-AQ82)</f>
        <v/>
      </c>
      <c r="AS82">
        <f>MAX(0,AR82*(1+$K$31)-$L$31)</f>
        <v/>
      </c>
      <c r="AT82">
        <f>AT81-MIN(AT81,AS82)</f>
        <v/>
      </c>
      <c r="AU82">
        <f>AS82-(AT81-AT82)</f>
        <v/>
      </c>
      <c r="AV82">
        <f>MAX(0,AU82*(1+$K$31)-$L$31)</f>
        <v/>
      </c>
      <c r="AW82">
        <f>AW81-MIN(AW81,AV82)</f>
        <v/>
      </c>
      <c r="AX82">
        <f>AV82-(AW81-AW82)</f>
        <v/>
      </c>
      <c r="AY82">
        <f>MAX(0,AX82*(1+$K$31)-$L$31)</f>
        <v/>
      </c>
      <c r="AZ82">
        <f>AZ81-MIN(AZ81,AY82)</f>
        <v/>
      </c>
      <c r="BA82">
        <f>AY82-(AZ81-AZ82)</f>
        <v/>
      </c>
      <c r="BB82">
        <f>MAX(0,BA82*(1+$K$31)-$L$31)</f>
        <v/>
      </c>
      <c r="BC82">
        <f>BC81-MIN(BC81,BB82)</f>
        <v/>
      </c>
      <c r="BD82">
        <f>BB82-(BC81-BC82)</f>
        <v/>
      </c>
      <c r="BE82">
        <f>MAX(0,BD82*(1+$K$31)-$L$31)</f>
        <v/>
      </c>
      <c r="BF82">
        <f>BF81-MIN(BF81,BE82)</f>
        <v/>
      </c>
      <c r="BG82">
        <f>BE82-(BF81-BF82)</f>
        <v/>
      </c>
      <c r="BH82">
        <f>MAX(0,BG82*(1+$K$31)-$L$31)</f>
        <v/>
      </c>
      <c r="BI82">
        <f>BI81-MIN(BI81,BH82)</f>
        <v/>
      </c>
      <c r="BJ82">
        <f>BH82-(BI81-BI82)</f>
        <v/>
      </c>
      <c r="BK82">
        <f>MAX(0,BJ82*(1+$K$31)-$L$31)</f>
        <v/>
      </c>
      <c r="BL82">
        <f>BL81-MIN(BL81,BK82)</f>
        <v/>
      </c>
      <c r="BM82">
        <f>BK82-(BL81-BL82)</f>
        <v/>
      </c>
      <c r="BN82">
        <f>MAX(0,BM82*(1+$K$31)-$L$31)</f>
        <v/>
      </c>
      <c r="BO82">
        <f>BO81-MIN(BO81,BN82)</f>
        <v/>
      </c>
      <c r="BP82">
        <f>BN82-(BO81-BO82)</f>
        <v/>
      </c>
      <c r="BQ82">
        <f>MAX(0,BP82*(1+$K$31)-$L$31)</f>
        <v/>
      </c>
      <c r="BR82">
        <f>BR81-MIN(BR81,BQ82)</f>
        <v/>
      </c>
      <c r="BS82">
        <f>BQ82-(BR81-BR82)</f>
        <v/>
      </c>
      <c r="BT82">
        <f>MAX(0,BS82*(1+$K$31)-$L$31)</f>
        <v/>
      </c>
      <c r="BU82">
        <f>BU81-MIN(BU81,BT82)</f>
        <v/>
      </c>
      <c r="BV82">
        <f>BT82-(BU81-BU82)</f>
        <v/>
      </c>
      <c r="BW82">
        <f>MAX(0,BV82*(1+$K$31)-$L$31)</f>
        <v/>
      </c>
      <c r="BX82">
        <f>BX81-MIN(BX81,BW82)</f>
        <v/>
      </c>
      <c r="BY82">
        <f>BW82-(BX81-BX82)</f>
        <v/>
      </c>
      <c r="BZ82">
        <f>MAX(0,BY82*(1+$K$31)-$L$31)</f>
        <v/>
      </c>
      <c r="CA82">
        <f>CA81-MIN(CA81,BZ82)</f>
        <v/>
      </c>
      <c r="CB82">
        <f>BZ82-(CA81-CA82)</f>
        <v/>
      </c>
      <c r="CC82">
        <f>MAX(0,CB82*(1+$K$31)-$L$31)</f>
        <v/>
      </c>
      <c r="CD82">
        <f>CD81-MIN(CD81,CC82)</f>
        <v/>
      </c>
      <c r="CE82">
        <f>CC82-(CD81-CD82)</f>
        <v/>
      </c>
      <c r="CF82">
        <f>MAX(0,CE82*(1+$K$31)-$L$31)</f>
        <v/>
      </c>
      <c r="CG82">
        <f>CG81-MIN(CG81,CF82)</f>
        <v/>
      </c>
      <c r="CH82">
        <f>CF82-(CG81-CG82)</f>
        <v/>
      </c>
      <c r="CI82">
        <f>MAX(0,CH82*(1+$K$31)-$L$31)</f>
        <v/>
      </c>
      <c r="CJ82">
        <f>CJ81-MIN(CJ81,CI82)</f>
        <v/>
      </c>
      <c r="CK82">
        <f>CI82-(CJ81-CJ82)</f>
        <v/>
      </c>
      <c r="CL82">
        <f>MAX(0,CK82*(1+$K$31)-$L$31)</f>
        <v/>
      </c>
      <c r="CM82">
        <f>CM81-MIN(CM81,CL82)</f>
        <v/>
      </c>
      <c r="CN82">
        <f>CL82-(CM81-CM82)</f>
        <v/>
      </c>
      <c r="CO82">
        <f>MAX(0,CN82*(1+$K$31)-$L$31)</f>
        <v/>
      </c>
      <c r="CP82">
        <f>CP81-MIN(CP81,CO82)</f>
        <v/>
      </c>
      <c r="CQ82">
        <f>CO82-(CP81-CP82)</f>
        <v/>
      </c>
      <c r="CR82">
        <f>MAX(0,CQ82*(1+$K$31)-$L$31)</f>
        <v/>
      </c>
      <c r="CS82">
        <f>CS81-MIN(CS81,CR82)</f>
        <v/>
      </c>
      <c r="CT82">
        <f>CR82-(CS81-CS82)</f>
        <v/>
      </c>
      <c r="CU82">
        <f>MAX(0,CT82*(1+$K$31)-$L$31)</f>
        <v/>
      </c>
      <c r="CV82">
        <f>CV81-MIN(CV81,CU82)</f>
        <v/>
      </c>
      <c r="CW82">
        <f>CU82-(CV81-CV82)</f>
        <v/>
      </c>
      <c r="CX82">
        <f>MAX(0,CW82*(1+$K$31)-$L$31)</f>
        <v/>
      </c>
      <c r="CY82">
        <f>CY81-MIN(CY81,CX82)</f>
        <v/>
      </c>
      <c r="CZ82">
        <f>CX82-(CY81-CY82)</f>
        <v/>
      </c>
      <c r="DA82">
        <f>MAX(0,CZ82*(1+$K$31)-$L$31)</f>
        <v/>
      </c>
      <c r="DB82">
        <f>DB81-MIN(DB81,DA82)</f>
        <v/>
      </c>
      <c r="DC82">
        <f>DA82-(DB81-DB82)</f>
        <v/>
      </c>
      <c r="DD82">
        <f>MAX(0,DC82*(1+$K$31)-$L$31)</f>
        <v/>
      </c>
      <c r="DE82">
        <f>DE81-MIN(DE81,DD82)</f>
        <v/>
      </c>
      <c r="DF82">
        <f>DD82-(DE81-DE82)</f>
        <v/>
      </c>
      <c r="DG82">
        <f>MAX(0,DF82*(1+$K$31)-$L$31)</f>
        <v/>
      </c>
      <c r="DH82">
        <f>DH81-MIN(DH81,DG82)</f>
        <v/>
      </c>
      <c r="DI82">
        <f>DG82-(DH81-DH82)</f>
        <v/>
      </c>
      <c r="DJ82">
        <f>MAX(0,DI82*(1+$K$31)-$L$31)</f>
        <v/>
      </c>
      <c r="DK82">
        <f>DK81-MIN(DK81,DJ82)</f>
        <v/>
      </c>
      <c r="DL82">
        <f>DJ82-(DK81-DK82)</f>
        <v/>
      </c>
      <c r="DM82">
        <f>MAX(0,DL82*(1+$K$31)-$L$31)</f>
        <v/>
      </c>
      <c r="DN82">
        <f>DN81-MIN(DN81,DM82)</f>
        <v/>
      </c>
      <c r="DO82">
        <f>DM82-(DN81-DN82)</f>
        <v/>
      </c>
      <c r="DP82">
        <f>MAX(0,DO82*(1+$K$31)-$L$31)</f>
        <v/>
      </c>
      <c r="DQ82">
        <f>DQ81-MIN(DQ81,DP82)</f>
        <v/>
      </c>
      <c r="DR82">
        <f>DP82-(DQ81-DQ82)</f>
        <v/>
      </c>
      <c r="DS82">
        <f>MAX(0,DR82*(1+$K$31)-$L$31)</f>
        <v/>
      </c>
      <c r="DT82">
        <f>DT81-MIN(DT81,DS82)</f>
        <v/>
      </c>
      <c r="DU82">
        <f>DS82-(DT81-DT82)</f>
        <v/>
      </c>
      <c r="DV82">
        <f>MAX(0,DU82*(1+$K$31)-$L$31)</f>
        <v/>
      </c>
      <c r="DW82">
        <f>DW81-MIN(DW81,DV82)</f>
        <v/>
      </c>
      <c r="DX82">
        <f>DV82-(DW81-DW82)</f>
        <v/>
      </c>
      <c r="DY82">
        <f>MAX(0,DX82*(1+$K$31)-$L$31)</f>
        <v/>
      </c>
      <c r="DZ82">
        <f>DZ81-MIN(DZ81,DY82)</f>
        <v/>
      </c>
      <c r="EA82">
        <f>DY82-(DZ81-DZ82)</f>
        <v/>
      </c>
      <c r="EB82">
        <f>MAX(0,EA82*(1+$K$31)-$L$31)</f>
        <v/>
      </c>
      <c r="EC82">
        <f>EC81-MIN(EC81,EB82)</f>
        <v/>
      </c>
      <c r="ED82">
        <f>EB82-(EC81-EC82)</f>
        <v/>
      </c>
      <c r="EE82">
        <f>MAX(0,ED82*(1+$K$31)-$L$31)</f>
        <v/>
      </c>
      <c r="EF82">
        <f>EF81-MIN(EF81,EE82)</f>
        <v/>
      </c>
      <c r="EG82">
        <f>EE82-(EF81-EF82)</f>
        <v/>
      </c>
      <c r="EH82">
        <f>MAX(0,EG82*(1+$K$31)-$L$31)</f>
        <v/>
      </c>
      <c r="EI82">
        <f>EI81-MIN(EI81,EH82)</f>
        <v/>
      </c>
      <c r="EJ82">
        <f>EH82-(EI81-EI82)</f>
        <v/>
      </c>
      <c r="EK82">
        <f>MAX(0,EJ82*(1+$K$31)-$L$31)</f>
        <v/>
      </c>
      <c r="EL82">
        <f>EL81-MIN(EL81,EK82)</f>
        <v/>
      </c>
      <c r="EM82">
        <f>EK82-(EL81-EL82)</f>
        <v/>
      </c>
      <c r="EN82">
        <f>MAX(0,EM82*(1+$K$31)-$L$31)</f>
        <v/>
      </c>
      <c r="EO82">
        <f>EO81-MIN(EO81,EN82)</f>
        <v/>
      </c>
      <c r="EP82">
        <f>EN82-(EO81-EO82)</f>
        <v/>
      </c>
      <c r="EQ82">
        <f>MAX(0,EP82*(1+$K$31)-$L$31)</f>
        <v/>
      </c>
      <c r="ER82">
        <f>ER81-MIN(ER81,EQ82)</f>
        <v/>
      </c>
      <c r="ES82">
        <f>EQ82-(ER81-ER82)</f>
        <v/>
      </c>
      <c r="ET82">
        <f>MAX(0,ES82*(1+$K$31)-$L$31)</f>
        <v/>
      </c>
      <c r="EU82">
        <f>EU81-MIN(EU81,ET82)</f>
        <v/>
      </c>
      <c r="EV82">
        <f>ET82-(EU81-EU82)</f>
        <v/>
      </c>
      <c r="EW82">
        <f>MAX(0,EV82*(1+$K$31)-$L$31)</f>
        <v/>
      </c>
      <c r="EX82">
        <f>EX81-MIN(EX81,EW82)</f>
        <v/>
      </c>
      <c r="EY82">
        <f>EW82-(EX81-EX82)</f>
        <v/>
      </c>
      <c r="EZ82">
        <f>MAX(0,EY82*(1+$K$31)-$L$31)</f>
        <v/>
      </c>
      <c r="FA82">
        <f>FA81-MIN(FA81,EZ82)</f>
        <v/>
      </c>
      <c r="FB82">
        <f>EZ82-(FA81-FA82)</f>
        <v/>
      </c>
      <c r="FC82">
        <f>MAX(0,FB82*(1+$K$31)-$L$31)</f>
        <v/>
      </c>
      <c r="FD82">
        <f>FD81-MIN(FD81,FC82)</f>
        <v/>
      </c>
      <c r="FE82">
        <f>FC82-(FD81-FD82)</f>
        <v/>
      </c>
      <c r="FF82">
        <f>MAX(0,FE82*(1+$K$31)-$L$31)</f>
        <v/>
      </c>
      <c r="FG82">
        <f>FG81-MIN(FG81,FF82)</f>
        <v/>
      </c>
      <c r="FH82">
        <f>FF82-(FG81-FG82)</f>
        <v/>
      </c>
      <c r="FI82">
        <f>MAX(0,FH82*(1+$K$31)-$L$31)</f>
        <v/>
      </c>
      <c r="FJ82">
        <f>FJ81-MIN(FJ81,FI82)</f>
        <v/>
      </c>
      <c r="FK82">
        <f>FI82-(FJ81-FJ82)</f>
        <v/>
      </c>
      <c r="FL82">
        <f>MAX(0,FK82*(1+$K$31)-$L$31)</f>
        <v/>
      </c>
      <c r="FM82">
        <f>FM81-MIN(FM81,FL82)</f>
        <v/>
      </c>
      <c r="FN82">
        <f>FL82-(FM81-FM82)</f>
        <v/>
      </c>
      <c r="FO82">
        <f>MAX(0,FN82*(1+$K$31)-$L$31)</f>
        <v/>
      </c>
      <c r="FP82">
        <f>FP81-MIN(FP81,FO82)</f>
        <v/>
      </c>
      <c r="FQ82">
        <f>FO82-(FP81-FP82)</f>
        <v/>
      </c>
      <c r="FR82">
        <f>MAX(0,FQ82*(1+$K$31)-$L$31)</f>
        <v/>
      </c>
      <c r="FS82">
        <f>FS81-MIN(FS81,FR82)</f>
        <v/>
      </c>
      <c r="FT82">
        <f>FR82-(FS81-FS82)</f>
        <v/>
      </c>
      <c r="FU82">
        <f>MAX(0,FT82*(1+$K$31)-$L$31)</f>
        <v/>
      </c>
      <c r="FV82">
        <f>FV81-MIN(FV81,FU82)</f>
        <v/>
      </c>
      <c r="FW82">
        <f>FU82-(FV81-FV82)</f>
        <v/>
      </c>
      <c r="FX82">
        <f>MAX(0,FW82*(1+$K$31)-$L$31)</f>
        <v/>
      </c>
      <c r="FY82">
        <f>FY81-MIN(FY81,FX82)</f>
        <v/>
      </c>
      <c r="FZ82">
        <f>FX82-(FY81-FY82)</f>
        <v/>
      </c>
      <c r="GA82">
        <f>MAX(0,FZ82*(1+$K$31)-$L$31)</f>
        <v/>
      </c>
      <c r="GB82">
        <f>GB81-MIN(GB81,GA82)</f>
        <v/>
      </c>
      <c r="GC82">
        <f>GA82-(GB81-GB82)</f>
        <v/>
      </c>
      <c r="GD82">
        <f>MAX(0,GC82*(1+$K$31)-$L$31)</f>
        <v/>
      </c>
      <c r="GE82">
        <f>GE81-MIN(GE81,GD82)</f>
        <v/>
      </c>
      <c r="GF82">
        <f>GD82-(GE81-GE82)</f>
        <v/>
      </c>
      <c r="GG82">
        <f>MAX(0,GF82*(1+$K$31)-$L$31)</f>
        <v/>
      </c>
      <c r="GH82">
        <f>GH81-MIN(GH81,GG82)</f>
        <v/>
      </c>
      <c r="GI82">
        <f>GG82-(GH81-GH82)</f>
        <v/>
      </c>
      <c r="GJ82">
        <f>MAX(0,GI82*(1+$K$31)-$L$31)</f>
        <v/>
      </c>
      <c r="GK82">
        <f>GK81-MIN(GK81,GJ82)</f>
        <v/>
      </c>
      <c r="GL82">
        <f>GJ82-(GK81-GK82)</f>
        <v/>
      </c>
      <c r="GM82">
        <f>MAX(0,GL82*(1+$K$31)-$L$31)</f>
        <v/>
      </c>
      <c r="GN82">
        <f>GN81-MIN(GN81,GM82)</f>
        <v/>
      </c>
      <c r="GO82">
        <f>GM82-(GN81-GN82)</f>
        <v/>
      </c>
      <c r="GP82">
        <f>MAX(0,GO82*(1+$K$31)-$L$31)</f>
        <v/>
      </c>
      <c r="GQ82">
        <f>GQ81-MIN(GQ81,GP82)</f>
        <v/>
      </c>
      <c r="GR82">
        <f>GP82-(GQ81-GQ82)</f>
        <v/>
      </c>
      <c r="GS82">
        <f>MAX(0,GR82*(1+$K$31)-$L$31)</f>
        <v/>
      </c>
      <c r="GT82">
        <f>GT81-MIN(GT81,GS82)</f>
        <v/>
      </c>
      <c r="GU82">
        <f>GS82-(GT81-GT82)</f>
        <v/>
      </c>
      <c r="GV82">
        <f>MAX(0,GU82*(1+$K$31)-$L$31)</f>
        <v/>
      </c>
      <c r="GW82">
        <f>GW81-MIN(GW81,GV82)</f>
        <v/>
      </c>
      <c r="GX82">
        <f>GV82-(GW81-GW82)</f>
        <v/>
      </c>
      <c r="GY82">
        <f>MAX(0,GX82*(1+$K$31)-$L$31)</f>
        <v/>
      </c>
      <c r="GZ82">
        <f>GZ81-MIN(GZ81,GY82)</f>
        <v/>
      </c>
      <c r="HA82">
        <f>GY82-(GZ81-GZ82)</f>
        <v/>
      </c>
      <c r="HB82">
        <f>MAX(0,HA82*(1+$K$31)-$L$31)</f>
        <v/>
      </c>
      <c r="HC82">
        <f>HC81-MIN(HC81,HB82)</f>
        <v/>
      </c>
      <c r="HD82">
        <f>HB82-(HC81-HC82)</f>
        <v/>
      </c>
      <c r="HE82">
        <f>MAX(0,HD82*(1+$K$31)-$L$31)</f>
        <v/>
      </c>
      <c r="HF82">
        <f>HF81-MIN(HF81,HE82)</f>
        <v/>
      </c>
      <c r="HG82">
        <f>HE82-(HF81-HF82)</f>
        <v/>
      </c>
      <c r="HH82">
        <f>MAX(0,HG82*(1+$K$31)-$L$31)</f>
        <v/>
      </c>
      <c r="HI82">
        <f>HI81-MIN(HI81,HH82)</f>
        <v/>
      </c>
      <c r="HJ82">
        <f>HH82-(HI81-HI82)</f>
        <v/>
      </c>
      <c r="HK82">
        <f>MAX(0,HJ82*(1+$K$31)-$L$31)</f>
        <v/>
      </c>
      <c r="HL82">
        <f>HL81-MIN(HL81,HK82)</f>
        <v/>
      </c>
      <c r="HM82">
        <f>HK82-(HL81-HL82)</f>
        <v/>
      </c>
      <c r="HN82">
        <f>MAX(0,HM82*(1+$K$31)-$L$31)</f>
        <v/>
      </c>
      <c r="HO82">
        <f>HO81-MIN(HO81,HN82)</f>
        <v/>
      </c>
      <c r="HP82">
        <f>HN82-(HO81-HO82)</f>
        <v/>
      </c>
      <c r="HQ82">
        <f>MAX(0,HP82*(1+$K$31)-$L$31)</f>
        <v/>
      </c>
      <c r="HR82">
        <f>HR81-MIN(HR81,HQ82)</f>
        <v/>
      </c>
      <c r="HS82">
        <f>HQ82-(HR81-HR82)</f>
        <v/>
      </c>
      <c r="HT82">
        <f>MAX(0,HS82*(1+$K$31)-$L$31)</f>
        <v/>
      </c>
      <c r="HU82">
        <f>HU81-MIN(HU81,HT82)</f>
        <v/>
      </c>
      <c r="HV82">
        <f>HT82-(HU81-HU82)</f>
        <v/>
      </c>
      <c r="HW82">
        <f>MAX(0,HV82*(1+$K$31)-$L$31)</f>
        <v/>
      </c>
      <c r="HX82">
        <f>HX81-MIN(HX81,HW82)</f>
        <v/>
      </c>
      <c r="HY82">
        <f>HW82-(HX81-HX82)</f>
        <v/>
      </c>
      <c r="HZ82">
        <f>MAX(0,HY82*(1+$K$31)-$L$31)</f>
        <v/>
      </c>
      <c r="IA82">
        <f>IA81-MIN(IA81,HZ82)</f>
        <v/>
      </c>
      <c r="IB82">
        <f>HZ82-(IA81-IA82)</f>
        <v/>
      </c>
      <c r="IC82">
        <f>MAX(0,IB82*(1+$K$31)-$L$31)</f>
        <v/>
      </c>
      <c r="ID82">
        <f>ID81-MIN(ID81,IC82)</f>
        <v/>
      </c>
      <c r="IE82">
        <f>IC82-(ID81-ID82)</f>
        <v/>
      </c>
      <c r="IF82">
        <f>MAX(0,IE82*(1+$K$31)-$L$31)</f>
        <v/>
      </c>
      <c r="IG82">
        <f>IG81-MIN(IG81,IF82)</f>
        <v/>
      </c>
      <c r="IH82">
        <f>IF82-(IG81-IG82)</f>
        <v/>
      </c>
      <c r="II82">
        <f>MAX(0,IH82*(1+$K$31)-$L$31)</f>
        <v/>
      </c>
      <c r="IJ82">
        <f>IJ81-MIN(IJ81,II82)</f>
        <v/>
      </c>
      <c r="IK82">
        <f>II82-(IJ81-IJ82)</f>
        <v/>
      </c>
      <c r="IL82">
        <f>MAX(0,IK82*(1+$K$31)-$L$31)</f>
        <v/>
      </c>
      <c r="IM82">
        <f>IM81-MIN(IM81,IL82)</f>
        <v/>
      </c>
      <c r="IN82">
        <f>IL82-(IM81-IM82)</f>
        <v/>
      </c>
      <c r="IO82">
        <f>MAX(0,IN82*(1+$K$31)-$L$31)</f>
        <v/>
      </c>
      <c r="IP82">
        <f>IP81-MIN(IP81,IO82)</f>
        <v/>
      </c>
      <c r="IQ82">
        <f>IO82-(IP81-IP82)</f>
        <v/>
      </c>
      <c r="IR82">
        <f>MAX(0,IQ82*(1+$K$31)-$L$31)</f>
        <v/>
      </c>
      <c r="IS82">
        <f>IS81-MIN(IS81,IR82)</f>
        <v/>
      </c>
      <c r="IT82">
        <f>IR82-(IS81-IS82)</f>
        <v/>
      </c>
      <c r="IU82">
        <f>MAX(0,IT82*(1+$K$31)-$L$31)</f>
        <v/>
      </c>
      <c r="IV82">
        <f>IV81-MIN(IV81,IU82)</f>
        <v/>
      </c>
      <c r="IW82">
        <f>IU82-(IV81-IV82)</f>
        <v/>
      </c>
      <c r="IX82">
        <f>MAX(0,IW82*(1+$K$31)-$L$31)</f>
        <v/>
      </c>
      <c r="IY82">
        <f>IY81-MIN(IY81,IX82)</f>
        <v/>
      </c>
      <c r="IZ82">
        <f>IX82-(IY81-IY82)</f>
        <v/>
      </c>
      <c r="JA82">
        <f>MAX(0,IZ82*(1+$K$31)-$L$31)</f>
        <v/>
      </c>
      <c r="JB82">
        <f>JB81-MIN(JB81,JA82)</f>
        <v/>
      </c>
      <c r="JC82">
        <f>JA82-(JB81-JB82)</f>
        <v/>
      </c>
      <c r="JD82">
        <f>MAX(0,JC82*(1+$K$31)-$L$31)</f>
        <v/>
      </c>
      <c r="JE82">
        <f>JE81-MIN(JE81,JD82)</f>
        <v/>
      </c>
      <c r="JF82">
        <f>JD82-(JE81-JE82)</f>
        <v/>
      </c>
      <c r="JG82">
        <f>MAX(0,JF82*(1+$K$31)-$L$31)</f>
        <v/>
      </c>
      <c r="JH82">
        <f>JH81-MIN(JH81,JG82)</f>
        <v/>
      </c>
      <c r="JI82">
        <f>JG82-(JH81-JH82)</f>
        <v/>
      </c>
      <c r="JJ82">
        <f>MAX(0,JI82*(1+$K$31)-$L$31)</f>
        <v/>
      </c>
      <c r="JK82">
        <f>JK81-MIN(JK81,JJ82)</f>
        <v/>
      </c>
      <c r="JL82">
        <f>JJ82-(JK81-JK82)</f>
        <v/>
      </c>
      <c r="JM82">
        <f>MAX(0,JL82*(1+$K$31)-$L$31)</f>
        <v/>
      </c>
      <c r="JN82">
        <f>JN81-MIN(JN81,JM82)</f>
        <v/>
      </c>
      <c r="JO82">
        <f>JM82-(JN81-JN82)</f>
        <v/>
      </c>
      <c r="JP82">
        <f>MAX(0,JO82*(1+$K$31)-$L$31)</f>
        <v/>
      </c>
      <c r="JQ82">
        <f>JQ81-MIN(JQ81,JP82)</f>
        <v/>
      </c>
      <c r="JR82">
        <f>JP82-(JQ81-JQ82)</f>
        <v/>
      </c>
      <c r="JS82">
        <f>MAX(0,JR82*(1+$K$31)-$L$31)</f>
        <v/>
      </c>
      <c r="JT82">
        <f>JT81-MIN(JT81,JS82)</f>
        <v/>
      </c>
      <c r="JU82">
        <f>JS82-(JT81-JT82)</f>
        <v/>
      </c>
      <c r="JV82">
        <f>MAX(0,JU82*(1+$K$31)-$L$31)</f>
        <v/>
      </c>
      <c r="JW82">
        <f>JW81-MIN(JW81,JV82)</f>
        <v/>
      </c>
      <c r="JX82">
        <f>JV82-(JW81-JW82)</f>
        <v/>
      </c>
      <c r="JY82">
        <f>MAX(0,JX82*(1+$K$31)-$L$31)</f>
        <v/>
      </c>
      <c r="JZ82">
        <f>JZ81-MIN(JZ81,JY82)</f>
        <v/>
      </c>
      <c r="KA82">
        <f>JY82-(JZ81-JZ82)</f>
        <v/>
      </c>
      <c r="KB82">
        <f>MAX(0,KA82*(1+$K$31)-$L$31)</f>
        <v/>
      </c>
      <c r="KC82">
        <f>KC81-MIN(KC81,KB82)</f>
        <v/>
      </c>
      <c r="KD82">
        <f>KB82-(KC81-KC82)</f>
        <v/>
      </c>
      <c r="KE82">
        <f>MAX(0,KD82*(1+$K$31)-$L$31)</f>
        <v/>
      </c>
      <c r="KF82">
        <f>KF81-MIN(KF81,KE82)</f>
        <v/>
      </c>
      <c r="KG82">
        <f>KE82-(KF81-KF82)</f>
        <v/>
      </c>
      <c r="KH82">
        <f>MAX(0,KG82*(1+$K$31)-$L$31)</f>
        <v/>
      </c>
      <c r="KI82">
        <f>KI81-MIN(KI81,KH82)</f>
        <v/>
      </c>
      <c r="KJ82">
        <f>KH82-(KI81-KI82)</f>
        <v/>
      </c>
      <c r="KK82">
        <f>MAX(0,KJ82*(1+$K$31)-$L$31)</f>
        <v/>
      </c>
      <c r="KL82">
        <f>KL81-MIN(KL81,KK82)</f>
        <v/>
      </c>
      <c r="KM82">
        <f>KK82-(KL81-KL82)</f>
        <v/>
      </c>
      <c r="KN82">
        <f>MAX(0,KM82*(1+$K$31)-$L$31)</f>
        <v/>
      </c>
      <c r="KO82">
        <f>KO81-MIN(KO81,KN82)</f>
        <v/>
      </c>
      <c r="KP82">
        <f>KN82-(KO81-KO82)</f>
        <v/>
      </c>
      <c r="KQ82">
        <f>MAX(0,KP82*(1+$K$31)-$L$31)</f>
        <v/>
      </c>
      <c r="KR82">
        <f>KR81-MIN(KR81,KQ82)</f>
        <v/>
      </c>
      <c r="KS82">
        <f>KQ82-(KR81-KR82)</f>
        <v/>
      </c>
      <c r="KT82">
        <f>MAX(0,KS82*(1+$K$31)-$L$31)</f>
        <v/>
      </c>
      <c r="KU82">
        <f>KU81-MIN(KU81,KT82)</f>
        <v/>
      </c>
      <c r="KV82">
        <f>KT82-(KU81-KU82)</f>
        <v/>
      </c>
      <c r="KW82">
        <f>MAX(0,KV82*(1+$K$31)-$L$31)</f>
        <v/>
      </c>
      <c r="KX82">
        <f>KX81-MIN(KX81,KW82)</f>
        <v/>
      </c>
      <c r="KY82">
        <f>KW82-(KX81-KX82)</f>
        <v/>
      </c>
      <c r="KZ82">
        <f>MAX(0,KY82*(1+$K$31)-$L$31)</f>
        <v/>
      </c>
      <c r="LA82">
        <f>LA81-MIN(LA81,KZ82)</f>
        <v/>
      </c>
      <c r="LB82">
        <f>KZ82-(LA81-LA82)</f>
        <v/>
      </c>
      <c r="LC82">
        <f>MAX(0,LB82*(1+$K$31)-$L$31)</f>
        <v/>
      </c>
      <c r="LD82">
        <f>LD81-MIN(LD81,LC82)</f>
        <v/>
      </c>
      <c r="LE82">
        <f>LC82-(LD81-LD82)</f>
        <v/>
      </c>
      <c r="LF82">
        <f>MAX(0,LE82*(1+$K$31)-$L$31)</f>
        <v/>
      </c>
      <c r="LG82">
        <f>LG81-MIN(LG81,LF82)</f>
        <v/>
      </c>
      <c r="LH82">
        <f>LF82-(LG81-LG82)</f>
        <v/>
      </c>
      <c r="LI82">
        <f>MAX(0,LH82*(1+$K$31)-$L$31)</f>
        <v/>
      </c>
      <c r="LJ82">
        <f>LJ81-MIN(LJ81,LI82)</f>
        <v/>
      </c>
      <c r="LK82">
        <f>LI82-(LJ81-LJ82)</f>
        <v/>
      </c>
      <c r="LL82">
        <f>MAX(0,LK82*(1+$K$31)-$L$31)</f>
        <v/>
      </c>
      <c r="LM82">
        <f>LM81-MIN(LM81,LL82)</f>
        <v/>
      </c>
      <c r="LN82">
        <f>LL82-(LM81-LM82)</f>
        <v/>
      </c>
      <c r="LO82">
        <f>MAX(0,LN82*(1+$K$31)-$L$31)</f>
        <v/>
      </c>
      <c r="LP82">
        <f>LP81-MIN(LP81,LO82)</f>
        <v/>
      </c>
      <c r="LQ82">
        <f>LO82-(LP81-LP82)</f>
        <v/>
      </c>
      <c r="LR82">
        <f>MAX(0,LQ82*(1+$K$31)-$L$31)</f>
        <v/>
      </c>
      <c r="LS82">
        <f>LS81-MIN(LS81,LR82)</f>
        <v/>
      </c>
      <c r="LT82">
        <f>LR82-(LS81-LS82)</f>
        <v/>
      </c>
      <c r="LU82">
        <f>MAX(0,LT82*(1+$K$31)-$L$31)</f>
        <v/>
      </c>
      <c r="LV82">
        <f>LV81-MIN(LV81,LU82)</f>
        <v/>
      </c>
      <c r="LW82">
        <f>LU82-(LV81-LV82)</f>
        <v/>
      </c>
      <c r="LX82">
        <f>MAX(0,LW82*(1+$K$31)-$L$31)</f>
        <v/>
      </c>
      <c r="LY82">
        <f>LY81-MIN(LY81,LX82)</f>
        <v/>
      </c>
      <c r="LZ82">
        <f>LX82-(LY81-LY82)</f>
        <v/>
      </c>
      <c r="MA82">
        <f>MAX(0,LZ82*(1+$K$31)-$L$31)</f>
        <v/>
      </c>
      <c r="MB82">
        <f>MB81-MIN(MB81,MA82)</f>
        <v/>
      </c>
      <c r="MC82">
        <f>MA82-(MB81-MB82)</f>
        <v/>
      </c>
      <c r="MD82">
        <f>MAX(0,MC82*(1+$K$31)-$L$31)</f>
        <v/>
      </c>
      <c r="ME82">
        <f>ME81-MIN(ME81,MD82)</f>
        <v/>
      </c>
      <c r="MF82">
        <f>MD82-(ME81-ME82)</f>
        <v/>
      </c>
      <c r="MG82">
        <f>MAX(0,MF82*(1+$K$31)-$L$31)</f>
        <v/>
      </c>
      <c r="MH82">
        <f>MH81-MIN(MH81,MG82)</f>
        <v/>
      </c>
      <c r="MI82">
        <f>MG82-(MH81-MH82)</f>
        <v/>
      </c>
      <c r="MJ82">
        <f>MAX(0,MI82*(1+$K$31)-$L$31)</f>
        <v/>
      </c>
      <c r="MK82">
        <f>MK81-MIN(MK81,MJ82)</f>
        <v/>
      </c>
      <c r="ML82">
        <f>MJ82-(MK81-MK82)</f>
        <v/>
      </c>
      <c r="MM82">
        <f>MAX(0,ML82*(1+$K$31)-$L$31)</f>
        <v/>
      </c>
      <c r="MN82">
        <f>MN81-MIN(MN81,MM82)</f>
        <v/>
      </c>
      <c r="MO82">
        <f>MM82-(MN81-MN82)</f>
        <v/>
      </c>
      <c r="MP82">
        <f>MAX(0,MO82*(1+$K$31)-$L$31)</f>
        <v/>
      </c>
      <c r="MQ82">
        <f>MQ81-MIN(MQ81,MP82)</f>
        <v/>
      </c>
      <c r="MR82">
        <f>MP82-(MQ81-MQ82)</f>
        <v/>
      </c>
      <c r="MS82">
        <f>MAX(0,MR82*(1+$K$31)-$L$31)</f>
        <v/>
      </c>
      <c r="MT82">
        <f>MT81-MIN(MT81,MS82)</f>
        <v/>
      </c>
      <c r="MU82">
        <f>MS82-(MT81-MT82)</f>
        <v/>
      </c>
      <c r="MV82">
        <f>MAX(0,MU82*(1+$K$31)-$L$31)</f>
        <v/>
      </c>
      <c r="MW82">
        <f>MW81-MIN(MW81,MV82)</f>
        <v/>
      </c>
      <c r="MX82">
        <f>MV82-(MW81-MW82)</f>
        <v/>
      </c>
    </row>
    <row r="83">
      <c r="A83" t="inlineStr">
        <is>
          <t>slot 9</t>
        </is>
      </c>
      <c r="B83">
        <f>J32</f>
        <v/>
      </c>
      <c r="C83">
        <f>MAX(0,B83*(1+$K$32)-$L$32)</f>
        <v/>
      </c>
      <c r="D83">
        <f>D82-MIN(D82,C83)</f>
        <v/>
      </c>
      <c r="E83">
        <f>C83-(D82-D83)</f>
        <v/>
      </c>
      <c r="F83">
        <f>MAX(0,E83*(1+$K$32)-$L$32)</f>
        <v/>
      </c>
      <c r="G83">
        <f>G82-MIN(G82,F83)</f>
        <v/>
      </c>
      <c r="H83">
        <f>F83-(G82-G83)</f>
        <v/>
      </c>
      <c r="I83">
        <f>MAX(0,H83*(1+$K$32)-$L$32)</f>
        <v/>
      </c>
      <c r="J83">
        <f>J82-MIN(J82,I83)</f>
        <v/>
      </c>
      <c r="K83">
        <f>I83-(J82-J83)</f>
        <v/>
      </c>
      <c r="L83">
        <f>MAX(0,K83*(1+$K$32)-$L$32)</f>
        <v/>
      </c>
      <c r="M83">
        <f>M82-MIN(M82,L83)</f>
        <v/>
      </c>
      <c r="N83">
        <f>L83-(M82-M83)</f>
        <v/>
      </c>
      <c r="O83">
        <f>MAX(0,N83*(1+$K$32)-$L$32)</f>
        <v/>
      </c>
      <c r="P83">
        <f>P82-MIN(P82,O83)</f>
        <v/>
      </c>
      <c r="Q83">
        <f>O83-(P82-P83)</f>
        <v/>
      </c>
      <c r="R83">
        <f>MAX(0,Q83*(1+$K$32)-$L$32)</f>
        <v/>
      </c>
      <c r="S83">
        <f>S82-MIN(S82,R83)</f>
        <v/>
      </c>
      <c r="T83">
        <f>R83-(S82-S83)</f>
        <v/>
      </c>
      <c r="U83">
        <f>MAX(0,T83*(1+$K$32)-$L$32)</f>
        <v/>
      </c>
      <c r="V83">
        <f>V82-MIN(V82,U83)</f>
        <v/>
      </c>
      <c r="W83">
        <f>U83-(V82-V83)</f>
        <v/>
      </c>
      <c r="X83">
        <f>MAX(0,W83*(1+$K$32)-$L$32)</f>
        <v/>
      </c>
      <c r="Y83">
        <f>Y82-MIN(Y82,X83)</f>
        <v/>
      </c>
      <c r="Z83">
        <f>X83-(Y82-Y83)</f>
        <v/>
      </c>
      <c r="AA83">
        <f>MAX(0,Z83*(1+$K$32)-$L$32)</f>
        <v/>
      </c>
      <c r="AB83">
        <f>AB82-MIN(AB82,AA83)</f>
        <v/>
      </c>
      <c r="AC83">
        <f>AA83-(AB82-AB83)</f>
        <v/>
      </c>
      <c r="AD83">
        <f>MAX(0,AC83*(1+$K$32)-$L$32)</f>
        <v/>
      </c>
      <c r="AE83">
        <f>AE82-MIN(AE82,AD83)</f>
        <v/>
      </c>
      <c r="AF83">
        <f>AD83-(AE82-AE83)</f>
        <v/>
      </c>
      <c r="AG83">
        <f>MAX(0,AF83*(1+$K$32)-$L$32)</f>
        <v/>
      </c>
      <c r="AH83">
        <f>AH82-MIN(AH82,AG83)</f>
        <v/>
      </c>
      <c r="AI83">
        <f>AG83-(AH82-AH83)</f>
        <v/>
      </c>
      <c r="AJ83">
        <f>MAX(0,AI83*(1+$K$32)-$L$32)</f>
        <v/>
      </c>
      <c r="AK83">
        <f>AK82-MIN(AK82,AJ83)</f>
        <v/>
      </c>
      <c r="AL83">
        <f>AJ83-(AK82-AK83)</f>
        <v/>
      </c>
      <c r="AM83">
        <f>MAX(0,AL83*(1+$K$32)-$L$32)</f>
        <v/>
      </c>
      <c r="AN83">
        <f>AN82-MIN(AN82,AM83)</f>
        <v/>
      </c>
      <c r="AO83">
        <f>AM83-(AN82-AN83)</f>
        <v/>
      </c>
      <c r="AP83">
        <f>MAX(0,AO83*(1+$K$32)-$L$32)</f>
        <v/>
      </c>
      <c r="AQ83">
        <f>AQ82-MIN(AQ82,AP83)</f>
        <v/>
      </c>
      <c r="AR83">
        <f>AP83-(AQ82-AQ83)</f>
        <v/>
      </c>
      <c r="AS83">
        <f>MAX(0,AR83*(1+$K$32)-$L$32)</f>
        <v/>
      </c>
      <c r="AT83">
        <f>AT82-MIN(AT82,AS83)</f>
        <v/>
      </c>
      <c r="AU83">
        <f>AS83-(AT82-AT83)</f>
        <v/>
      </c>
      <c r="AV83">
        <f>MAX(0,AU83*(1+$K$32)-$L$32)</f>
        <v/>
      </c>
      <c r="AW83">
        <f>AW82-MIN(AW82,AV83)</f>
        <v/>
      </c>
      <c r="AX83">
        <f>AV83-(AW82-AW83)</f>
        <v/>
      </c>
      <c r="AY83">
        <f>MAX(0,AX83*(1+$K$32)-$L$32)</f>
        <v/>
      </c>
      <c r="AZ83">
        <f>AZ82-MIN(AZ82,AY83)</f>
        <v/>
      </c>
      <c r="BA83">
        <f>AY83-(AZ82-AZ83)</f>
        <v/>
      </c>
      <c r="BB83">
        <f>MAX(0,BA83*(1+$K$32)-$L$32)</f>
        <v/>
      </c>
      <c r="BC83">
        <f>BC82-MIN(BC82,BB83)</f>
        <v/>
      </c>
      <c r="BD83">
        <f>BB83-(BC82-BC83)</f>
        <v/>
      </c>
      <c r="BE83">
        <f>MAX(0,BD83*(1+$K$32)-$L$32)</f>
        <v/>
      </c>
      <c r="BF83">
        <f>BF82-MIN(BF82,BE83)</f>
        <v/>
      </c>
      <c r="BG83">
        <f>BE83-(BF82-BF83)</f>
        <v/>
      </c>
      <c r="BH83">
        <f>MAX(0,BG83*(1+$K$32)-$L$32)</f>
        <v/>
      </c>
      <c r="BI83">
        <f>BI82-MIN(BI82,BH83)</f>
        <v/>
      </c>
      <c r="BJ83">
        <f>BH83-(BI82-BI83)</f>
        <v/>
      </c>
      <c r="BK83">
        <f>MAX(0,BJ83*(1+$K$32)-$L$32)</f>
        <v/>
      </c>
      <c r="BL83">
        <f>BL82-MIN(BL82,BK83)</f>
        <v/>
      </c>
      <c r="BM83">
        <f>BK83-(BL82-BL83)</f>
        <v/>
      </c>
      <c r="BN83">
        <f>MAX(0,BM83*(1+$K$32)-$L$32)</f>
        <v/>
      </c>
      <c r="BO83">
        <f>BO82-MIN(BO82,BN83)</f>
        <v/>
      </c>
      <c r="BP83">
        <f>BN83-(BO82-BO83)</f>
        <v/>
      </c>
      <c r="BQ83">
        <f>MAX(0,BP83*(1+$K$32)-$L$32)</f>
        <v/>
      </c>
      <c r="BR83">
        <f>BR82-MIN(BR82,BQ83)</f>
        <v/>
      </c>
      <c r="BS83">
        <f>BQ83-(BR82-BR83)</f>
        <v/>
      </c>
      <c r="BT83">
        <f>MAX(0,BS83*(1+$K$32)-$L$32)</f>
        <v/>
      </c>
      <c r="BU83">
        <f>BU82-MIN(BU82,BT83)</f>
        <v/>
      </c>
      <c r="BV83">
        <f>BT83-(BU82-BU83)</f>
        <v/>
      </c>
      <c r="BW83">
        <f>MAX(0,BV83*(1+$K$32)-$L$32)</f>
        <v/>
      </c>
      <c r="BX83">
        <f>BX82-MIN(BX82,BW83)</f>
        <v/>
      </c>
      <c r="BY83">
        <f>BW83-(BX82-BX83)</f>
        <v/>
      </c>
      <c r="BZ83">
        <f>MAX(0,BY83*(1+$K$32)-$L$32)</f>
        <v/>
      </c>
      <c r="CA83">
        <f>CA82-MIN(CA82,BZ83)</f>
        <v/>
      </c>
      <c r="CB83">
        <f>BZ83-(CA82-CA83)</f>
        <v/>
      </c>
      <c r="CC83">
        <f>MAX(0,CB83*(1+$K$32)-$L$32)</f>
        <v/>
      </c>
      <c r="CD83">
        <f>CD82-MIN(CD82,CC83)</f>
        <v/>
      </c>
      <c r="CE83">
        <f>CC83-(CD82-CD83)</f>
        <v/>
      </c>
      <c r="CF83">
        <f>MAX(0,CE83*(1+$K$32)-$L$32)</f>
        <v/>
      </c>
      <c r="CG83">
        <f>CG82-MIN(CG82,CF83)</f>
        <v/>
      </c>
      <c r="CH83">
        <f>CF83-(CG82-CG83)</f>
        <v/>
      </c>
      <c r="CI83">
        <f>MAX(0,CH83*(1+$K$32)-$L$32)</f>
        <v/>
      </c>
      <c r="CJ83">
        <f>CJ82-MIN(CJ82,CI83)</f>
        <v/>
      </c>
      <c r="CK83">
        <f>CI83-(CJ82-CJ83)</f>
        <v/>
      </c>
      <c r="CL83">
        <f>MAX(0,CK83*(1+$K$32)-$L$32)</f>
        <v/>
      </c>
      <c r="CM83">
        <f>CM82-MIN(CM82,CL83)</f>
        <v/>
      </c>
      <c r="CN83">
        <f>CL83-(CM82-CM83)</f>
        <v/>
      </c>
      <c r="CO83">
        <f>MAX(0,CN83*(1+$K$32)-$L$32)</f>
        <v/>
      </c>
      <c r="CP83">
        <f>CP82-MIN(CP82,CO83)</f>
        <v/>
      </c>
      <c r="CQ83">
        <f>CO83-(CP82-CP83)</f>
        <v/>
      </c>
      <c r="CR83">
        <f>MAX(0,CQ83*(1+$K$32)-$L$32)</f>
        <v/>
      </c>
      <c r="CS83">
        <f>CS82-MIN(CS82,CR83)</f>
        <v/>
      </c>
      <c r="CT83">
        <f>CR83-(CS82-CS83)</f>
        <v/>
      </c>
      <c r="CU83">
        <f>MAX(0,CT83*(1+$K$32)-$L$32)</f>
        <v/>
      </c>
      <c r="CV83">
        <f>CV82-MIN(CV82,CU83)</f>
        <v/>
      </c>
      <c r="CW83">
        <f>CU83-(CV82-CV83)</f>
        <v/>
      </c>
      <c r="CX83">
        <f>MAX(0,CW83*(1+$K$32)-$L$32)</f>
        <v/>
      </c>
      <c r="CY83">
        <f>CY82-MIN(CY82,CX83)</f>
        <v/>
      </c>
      <c r="CZ83">
        <f>CX83-(CY82-CY83)</f>
        <v/>
      </c>
      <c r="DA83">
        <f>MAX(0,CZ83*(1+$K$32)-$L$32)</f>
        <v/>
      </c>
      <c r="DB83">
        <f>DB82-MIN(DB82,DA83)</f>
        <v/>
      </c>
      <c r="DC83">
        <f>DA83-(DB82-DB83)</f>
        <v/>
      </c>
      <c r="DD83">
        <f>MAX(0,DC83*(1+$K$32)-$L$32)</f>
        <v/>
      </c>
      <c r="DE83">
        <f>DE82-MIN(DE82,DD83)</f>
        <v/>
      </c>
      <c r="DF83">
        <f>DD83-(DE82-DE83)</f>
        <v/>
      </c>
      <c r="DG83">
        <f>MAX(0,DF83*(1+$K$32)-$L$32)</f>
        <v/>
      </c>
      <c r="DH83">
        <f>DH82-MIN(DH82,DG83)</f>
        <v/>
      </c>
      <c r="DI83">
        <f>DG83-(DH82-DH83)</f>
        <v/>
      </c>
      <c r="DJ83">
        <f>MAX(0,DI83*(1+$K$32)-$L$32)</f>
        <v/>
      </c>
      <c r="DK83">
        <f>DK82-MIN(DK82,DJ83)</f>
        <v/>
      </c>
      <c r="DL83">
        <f>DJ83-(DK82-DK83)</f>
        <v/>
      </c>
      <c r="DM83">
        <f>MAX(0,DL83*(1+$K$32)-$L$32)</f>
        <v/>
      </c>
      <c r="DN83">
        <f>DN82-MIN(DN82,DM83)</f>
        <v/>
      </c>
      <c r="DO83">
        <f>DM83-(DN82-DN83)</f>
        <v/>
      </c>
      <c r="DP83">
        <f>MAX(0,DO83*(1+$K$32)-$L$32)</f>
        <v/>
      </c>
      <c r="DQ83">
        <f>DQ82-MIN(DQ82,DP83)</f>
        <v/>
      </c>
      <c r="DR83">
        <f>DP83-(DQ82-DQ83)</f>
        <v/>
      </c>
      <c r="DS83">
        <f>MAX(0,DR83*(1+$K$32)-$L$32)</f>
        <v/>
      </c>
      <c r="DT83">
        <f>DT82-MIN(DT82,DS83)</f>
        <v/>
      </c>
      <c r="DU83">
        <f>DS83-(DT82-DT83)</f>
        <v/>
      </c>
      <c r="DV83">
        <f>MAX(0,DU83*(1+$K$32)-$L$32)</f>
        <v/>
      </c>
      <c r="DW83">
        <f>DW82-MIN(DW82,DV83)</f>
        <v/>
      </c>
      <c r="DX83">
        <f>DV83-(DW82-DW83)</f>
        <v/>
      </c>
      <c r="DY83">
        <f>MAX(0,DX83*(1+$K$32)-$L$32)</f>
        <v/>
      </c>
      <c r="DZ83">
        <f>DZ82-MIN(DZ82,DY83)</f>
        <v/>
      </c>
      <c r="EA83">
        <f>DY83-(DZ82-DZ83)</f>
        <v/>
      </c>
      <c r="EB83">
        <f>MAX(0,EA83*(1+$K$32)-$L$32)</f>
        <v/>
      </c>
      <c r="EC83">
        <f>EC82-MIN(EC82,EB83)</f>
        <v/>
      </c>
      <c r="ED83">
        <f>EB83-(EC82-EC83)</f>
        <v/>
      </c>
      <c r="EE83">
        <f>MAX(0,ED83*(1+$K$32)-$L$32)</f>
        <v/>
      </c>
      <c r="EF83">
        <f>EF82-MIN(EF82,EE83)</f>
        <v/>
      </c>
      <c r="EG83">
        <f>EE83-(EF82-EF83)</f>
        <v/>
      </c>
      <c r="EH83">
        <f>MAX(0,EG83*(1+$K$32)-$L$32)</f>
        <v/>
      </c>
      <c r="EI83">
        <f>EI82-MIN(EI82,EH83)</f>
        <v/>
      </c>
      <c r="EJ83">
        <f>EH83-(EI82-EI83)</f>
        <v/>
      </c>
      <c r="EK83">
        <f>MAX(0,EJ83*(1+$K$32)-$L$32)</f>
        <v/>
      </c>
      <c r="EL83">
        <f>EL82-MIN(EL82,EK83)</f>
        <v/>
      </c>
      <c r="EM83">
        <f>EK83-(EL82-EL83)</f>
        <v/>
      </c>
      <c r="EN83">
        <f>MAX(0,EM83*(1+$K$32)-$L$32)</f>
        <v/>
      </c>
      <c r="EO83">
        <f>EO82-MIN(EO82,EN83)</f>
        <v/>
      </c>
      <c r="EP83">
        <f>EN83-(EO82-EO83)</f>
        <v/>
      </c>
      <c r="EQ83">
        <f>MAX(0,EP83*(1+$K$32)-$L$32)</f>
        <v/>
      </c>
      <c r="ER83">
        <f>ER82-MIN(ER82,EQ83)</f>
        <v/>
      </c>
      <c r="ES83">
        <f>EQ83-(ER82-ER83)</f>
        <v/>
      </c>
      <c r="ET83">
        <f>MAX(0,ES83*(1+$K$32)-$L$32)</f>
        <v/>
      </c>
      <c r="EU83">
        <f>EU82-MIN(EU82,ET83)</f>
        <v/>
      </c>
      <c r="EV83">
        <f>ET83-(EU82-EU83)</f>
        <v/>
      </c>
      <c r="EW83">
        <f>MAX(0,EV83*(1+$K$32)-$L$32)</f>
        <v/>
      </c>
      <c r="EX83">
        <f>EX82-MIN(EX82,EW83)</f>
        <v/>
      </c>
      <c r="EY83">
        <f>EW83-(EX82-EX83)</f>
        <v/>
      </c>
      <c r="EZ83">
        <f>MAX(0,EY83*(1+$K$32)-$L$32)</f>
        <v/>
      </c>
      <c r="FA83">
        <f>FA82-MIN(FA82,EZ83)</f>
        <v/>
      </c>
      <c r="FB83">
        <f>EZ83-(FA82-FA83)</f>
        <v/>
      </c>
      <c r="FC83">
        <f>MAX(0,FB83*(1+$K$32)-$L$32)</f>
        <v/>
      </c>
      <c r="FD83">
        <f>FD82-MIN(FD82,FC83)</f>
        <v/>
      </c>
      <c r="FE83">
        <f>FC83-(FD82-FD83)</f>
        <v/>
      </c>
      <c r="FF83">
        <f>MAX(0,FE83*(1+$K$32)-$L$32)</f>
        <v/>
      </c>
      <c r="FG83">
        <f>FG82-MIN(FG82,FF83)</f>
        <v/>
      </c>
      <c r="FH83">
        <f>FF83-(FG82-FG83)</f>
        <v/>
      </c>
      <c r="FI83">
        <f>MAX(0,FH83*(1+$K$32)-$L$32)</f>
        <v/>
      </c>
      <c r="FJ83">
        <f>FJ82-MIN(FJ82,FI83)</f>
        <v/>
      </c>
      <c r="FK83">
        <f>FI83-(FJ82-FJ83)</f>
        <v/>
      </c>
      <c r="FL83">
        <f>MAX(0,FK83*(1+$K$32)-$L$32)</f>
        <v/>
      </c>
      <c r="FM83">
        <f>FM82-MIN(FM82,FL83)</f>
        <v/>
      </c>
      <c r="FN83">
        <f>FL83-(FM82-FM83)</f>
        <v/>
      </c>
      <c r="FO83">
        <f>MAX(0,FN83*(1+$K$32)-$L$32)</f>
        <v/>
      </c>
      <c r="FP83">
        <f>FP82-MIN(FP82,FO83)</f>
        <v/>
      </c>
      <c r="FQ83">
        <f>FO83-(FP82-FP83)</f>
        <v/>
      </c>
      <c r="FR83">
        <f>MAX(0,FQ83*(1+$K$32)-$L$32)</f>
        <v/>
      </c>
      <c r="FS83">
        <f>FS82-MIN(FS82,FR83)</f>
        <v/>
      </c>
      <c r="FT83">
        <f>FR83-(FS82-FS83)</f>
        <v/>
      </c>
      <c r="FU83">
        <f>MAX(0,FT83*(1+$K$32)-$L$32)</f>
        <v/>
      </c>
      <c r="FV83">
        <f>FV82-MIN(FV82,FU83)</f>
        <v/>
      </c>
      <c r="FW83">
        <f>FU83-(FV82-FV83)</f>
        <v/>
      </c>
      <c r="FX83">
        <f>MAX(0,FW83*(1+$K$32)-$L$32)</f>
        <v/>
      </c>
      <c r="FY83">
        <f>FY82-MIN(FY82,FX83)</f>
        <v/>
      </c>
      <c r="FZ83">
        <f>FX83-(FY82-FY83)</f>
        <v/>
      </c>
      <c r="GA83">
        <f>MAX(0,FZ83*(1+$K$32)-$L$32)</f>
        <v/>
      </c>
      <c r="GB83">
        <f>GB82-MIN(GB82,GA83)</f>
        <v/>
      </c>
      <c r="GC83">
        <f>GA83-(GB82-GB83)</f>
        <v/>
      </c>
      <c r="GD83">
        <f>MAX(0,GC83*(1+$K$32)-$L$32)</f>
        <v/>
      </c>
      <c r="GE83">
        <f>GE82-MIN(GE82,GD83)</f>
        <v/>
      </c>
      <c r="GF83">
        <f>GD83-(GE82-GE83)</f>
        <v/>
      </c>
      <c r="GG83">
        <f>MAX(0,GF83*(1+$K$32)-$L$32)</f>
        <v/>
      </c>
      <c r="GH83">
        <f>GH82-MIN(GH82,GG83)</f>
        <v/>
      </c>
      <c r="GI83">
        <f>GG83-(GH82-GH83)</f>
        <v/>
      </c>
      <c r="GJ83">
        <f>MAX(0,GI83*(1+$K$32)-$L$32)</f>
        <v/>
      </c>
      <c r="GK83">
        <f>GK82-MIN(GK82,GJ83)</f>
        <v/>
      </c>
      <c r="GL83">
        <f>GJ83-(GK82-GK83)</f>
        <v/>
      </c>
      <c r="GM83">
        <f>MAX(0,GL83*(1+$K$32)-$L$32)</f>
        <v/>
      </c>
      <c r="GN83">
        <f>GN82-MIN(GN82,GM83)</f>
        <v/>
      </c>
      <c r="GO83">
        <f>GM83-(GN82-GN83)</f>
        <v/>
      </c>
      <c r="GP83">
        <f>MAX(0,GO83*(1+$K$32)-$L$32)</f>
        <v/>
      </c>
      <c r="GQ83">
        <f>GQ82-MIN(GQ82,GP83)</f>
        <v/>
      </c>
      <c r="GR83">
        <f>GP83-(GQ82-GQ83)</f>
        <v/>
      </c>
      <c r="GS83">
        <f>MAX(0,GR83*(1+$K$32)-$L$32)</f>
        <v/>
      </c>
      <c r="GT83">
        <f>GT82-MIN(GT82,GS83)</f>
        <v/>
      </c>
      <c r="GU83">
        <f>GS83-(GT82-GT83)</f>
        <v/>
      </c>
      <c r="GV83">
        <f>MAX(0,GU83*(1+$K$32)-$L$32)</f>
        <v/>
      </c>
      <c r="GW83">
        <f>GW82-MIN(GW82,GV83)</f>
        <v/>
      </c>
      <c r="GX83">
        <f>GV83-(GW82-GW83)</f>
        <v/>
      </c>
      <c r="GY83">
        <f>MAX(0,GX83*(1+$K$32)-$L$32)</f>
        <v/>
      </c>
      <c r="GZ83">
        <f>GZ82-MIN(GZ82,GY83)</f>
        <v/>
      </c>
      <c r="HA83">
        <f>GY83-(GZ82-GZ83)</f>
        <v/>
      </c>
      <c r="HB83">
        <f>MAX(0,HA83*(1+$K$32)-$L$32)</f>
        <v/>
      </c>
      <c r="HC83">
        <f>HC82-MIN(HC82,HB83)</f>
        <v/>
      </c>
      <c r="HD83">
        <f>HB83-(HC82-HC83)</f>
        <v/>
      </c>
      <c r="HE83">
        <f>MAX(0,HD83*(1+$K$32)-$L$32)</f>
        <v/>
      </c>
      <c r="HF83">
        <f>HF82-MIN(HF82,HE83)</f>
        <v/>
      </c>
      <c r="HG83">
        <f>HE83-(HF82-HF83)</f>
        <v/>
      </c>
      <c r="HH83">
        <f>MAX(0,HG83*(1+$K$32)-$L$32)</f>
        <v/>
      </c>
      <c r="HI83">
        <f>HI82-MIN(HI82,HH83)</f>
        <v/>
      </c>
      <c r="HJ83">
        <f>HH83-(HI82-HI83)</f>
        <v/>
      </c>
      <c r="HK83">
        <f>MAX(0,HJ83*(1+$K$32)-$L$32)</f>
        <v/>
      </c>
      <c r="HL83">
        <f>HL82-MIN(HL82,HK83)</f>
        <v/>
      </c>
      <c r="HM83">
        <f>HK83-(HL82-HL83)</f>
        <v/>
      </c>
      <c r="HN83">
        <f>MAX(0,HM83*(1+$K$32)-$L$32)</f>
        <v/>
      </c>
      <c r="HO83">
        <f>HO82-MIN(HO82,HN83)</f>
        <v/>
      </c>
      <c r="HP83">
        <f>HN83-(HO82-HO83)</f>
        <v/>
      </c>
      <c r="HQ83">
        <f>MAX(0,HP83*(1+$K$32)-$L$32)</f>
        <v/>
      </c>
      <c r="HR83">
        <f>HR82-MIN(HR82,HQ83)</f>
        <v/>
      </c>
      <c r="HS83">
        <f>HQ83-(HR82-HR83)</f>
        <v/>
      </c>
      <c r="HT83">
        <f>MAX(0,HS83*(1+$K$32)-$L$32)</f>
        <v/>
      </c>
      <c r="HU83">
        <f>HU82-MIN(HU82,HT83)</f>
        <v/>
      </c>
      <c r="HV83">
        <f>HT83-(HU82-HU83)</f>
        <v/>
      </c>
      <c r="HW83">
        <f>MAX(0,HV83*(1+$K$32)-$L$32)</f>
        <v/>
      </c>
      <c r="HX83">
        <f>HX82-MIN(HX82,HW83)</f>
        <v/>
      </c>
      <c r="HY83">
        <f>HW83-(HX82-HX83)</f>
        <v/>
      </c>
      <c r="HZ83">
        <f>MAX(0,HY83*(1+$K$32)-$L$32)</f>
        <v/>
      </c>
      <c r="IA83">
        <f>IA82-MIN(IA82,HZ83)</f>
        <v/>
      </c>
      <c r="IB83">
        <f>HZ83-(IA82-IA83)</f>
        <v/>
      </c>
      <c r="IC83">
        <f>MAX(0,IB83*(1+$K$32)-$L$32)</f>
        <v/>
      </c>
      <c r="ID83">
        <f>ID82-MIN(ID82,IC83)</f>
        <v/>
      </c>
      <c r="IE83">
        <f>IC83-(ID82-ID83)</f>
        <v/>
      </c>
      <c r="IF83">
        <f>MAX(0,IE83*(1+$K$32)-$L$32)</f>
        <v/>
      </c>
      <c r="IG83">
        <f>IG82-MIN(IG82,IF83)</f>
        <v/>
      </c>
      <c r="IH83">
        <f>IF83-(IG82-IG83)</f>
        <v/>
      </c>
      <c r="II83">
        <f>MAX(0,IH83*(1+$K$32)-$L$32)</f>
        <v/>
      </c>
      <c r="IJ83">
        <f>IJ82-MIN(IJ82,II83)</f>
        <v/>
      </c>
      <c r="IK83">
        <f>II83-(IJ82-IJ83)</f>
        <v/>
      </c>
      <c r="IL83">
        <f>MAX(0,IK83*(1+$K$32)-$L$32)</f>
        <v/>
      </c>
      <c r="IM83">
        <f>IM82-MIN(IM82,IL83)</f>
        <v/>
      </c>
      <c r="IN83">
        <f>IL83-(IM82-IM83)</f>
        <v/>
      </c>
      <c r="IO83">
        <f>MAX(0,IN83*(1+$K$32)-$L$32)</f>
        <v/>
      </c>
      <c r="IP83">
        <f>IP82-MIN(IP82,IO83)</f>
        <v/>
      </c>
      <c r="IQ83">
        <f>IO83-(IP82-IP83)</f>
        <v/>
      </c>
      <c r="IR83">
        <f>MAX(0,IQ83*(1+$K$32)-$L$32)</f>
        <v/>
      </c>
      <c r="IS83">
        <f>IS82-MIN(IS82,IR83)</f>
        <v/>
      </c>
      <c r="IT83">
        <f>IR83-(IS82-IS83)</f>
        <v/>
      </c>
      <c r="IU83">
        <f>MAX(0,IT83*(1+$K$32)-$L$32)</f>
        <v/>
      </c>
      <c r="IV83">
        <f>IV82-MIN(IV82,IU83)</f>
        <v/>
      </c>
      <c r="IW83">
        <f>IU83-(IV82-IV83)</f>
        <v/>
      </c>
      <c r="IX83">
        <f>MAX(0,IW83*(1+$K$32)-$L$32)</f>
        <v/>
      </c>
      <c r="IY83">
        <f>IY82-MIN(IY82,IX83)</f>
        <v/>
      </c>
      <c r="IZ83">
        <f>IX83-(IY82-IY83)</f>
        <v/>
      </c>
      <c r="JA83">
        <f>MAX(0,IZ83*(1+$K$32)-$L$32)</f>
        <v/>
      </c>
      <c r="JB83">
        <f>JB82-MIN(JB82,JA83)</f>
        <v/>
      </c>
      <c r="JC83">
        <f>JA83-(JB82-JB83)</f>
        <v/>
      </c>
      <c r="JD83">
        <f>MAX(0,JC83*(1+$K$32)-$L$32)</f>
        <v/>
      </c>
      <c r="JE83">
        <f>JE82-MIN(JE82,JD83)</f>
        <v/>
      </c>
      <c r="JF83">
        <f>JD83-(JE82-JE83)</f>
        <v/>
      </c>
      <c r="JG83">
        <f>MAX(0,JF83*(1+$K$32)-$L$32)</f>
        <v/>
      </c>
      <c r="JH83">
        <f>JH82-MIN(JH82,JG83)</f>
        <v/>
      </c>
      <c r="JI83">
        <f>JG83-(JH82-JH83)</f>
        <v/>
      </c>
      <c r="JJ83">
        <f>MAX(0,JI83*(1+$K$32)-$L$32)</f>
        <v/>
      </c>
      <c r="JK83">
        <f>JK82-MIN(JK82,JJ83)</f>
        <v/>
      </c>
      <c r="JL83">
        <f>JJ83-(JK82-JK83)</f>
        <v/>
      </c>
      <c r="JM83">
        <f>MAX(0,JL83*(1+$K$32)-$L$32)</f>
        <v/>
      </c>
      <c r="JN83">
        <f>JN82-MIN(JN82,JM83)</f>
        <v/>
      </c>
      <c r="JO83">
        <f>JM83-(JN82-JN83)</f>
        <v/>
      </c>
      <c r="JP83">
        <f>MAX(0,JO83*(1+$K$32)-$L$32)</f>
        <v/>
      </c>
      <c r="JQ83">
        <f>JQ82-MIN(JQ82,JP83)</f>
        <v/>
      </c>
      <c r="JR83">
        <f>JP83-(JQ82-JQ83)</f>
        <v/>
      </c>
      <c r="JS83">
        <f>MAX(0,JR83*(1+$K$32)-$L$32)</f>
        <v/>
      </c>
      <c r="JT83">
        <f>JT82-MIN(JT82,JS83)</f>
        <v/>
      </c>
      <c r="JU83">
        <f>JS83-(JT82-JT83)</f>
        <v/>
      </c>
      <c r="JV83">
        <f>MAX(0,JU83*(1+$K$32)-$L$32)</f>
        <v/>
      </c>
      <c r="JW83">
        <f>JW82-MIN(JW82,JV83)</f>
        <v/>
      </c>
      <c r="JX83">
        <f>JV83-(JW82-JW83)</f>
        <v/>
      </c>
      <c r="JY83">
        <f>MAX(0,JX83*(1+$K$32)-$L$32)</f>
        <v/>
      </c>
      <c r="JZ83">
        <f>JZ82-MIN(JZ82,JY83)</f>
        <v/>
      </c>
      <c r="KA83">
        <f>JY83-(JZ82-JZ83)</f>
        <v/>
      </c>
      <c r="KB83">
        <f>MAX(0,KA83*(1+$K$32)-$L$32)</f>
        <v/>
      </c>
      <c r="KC83">
        <f>KC82-MIN(KC82,KB83)</f>
        <v/>
      </c>
      <c r="KD83">
        <f>KB83-(KC82-KC83)</f>
        <v/>
      </c>
      <c r="KE83">
        <f>MAX(0,KD83*(1+$K$32)-$L$32)</f>
        <v/>
      </c>
      <c r="KF83">
        <f>KF82-MIN(KF82,KE83)</f>
        <v/>
      </c>
      <c r="KG83">
        <f>KE83-(KF82-KF83)</f>
        <v/>
      </c>
      <c r="KH83">
        <f>MAX(0,KG83*(1+$K$32)-$L$32)</f>
        <v/>
      </c>
      <c r="KI83">
        <f>KI82-MIN(KI82,KH83)</f>
        <v/>
      </c>
      <c r="KJ83">
        <f>KH83-(KI82-KI83)</f>
        <v/>
      </c>
      <c r="KK83">
        <f>MAX(0,KJ83*(1+$K$32)-$L$32)</f>
        <v/>
      </c>
      <c r="KL83">
        <f>KL82-MIN(KL82,KK83)</f>
        <v/>
      </c>
      <c r="KM83">
        <f>KK83-(KL82-KL83)</f>
        <v/>
      </c>
      <c r="KN83">
        <f>MAX(0,KM83*(1+$K$32)-$L$32)</f>
        <v/>
      </c>
      <c r="KO83">
        <f>KO82-MIN(KO82,KN83)</f>
        <v/>
      </c>
      <c r="KP83">
        <f>KN83-(KO82-KO83)</f>
        <v/>
      </c>
      <c r="KQ83">
        <f>MAX(0,KP83*(1+$K$32)-$L$32)</f>
        <v/>
      </c>
      <c r="KR83">
        <f>KR82-MIN(KR82,KQ83)</f>
        <v/>
      </c>
      <c r="KS83">
        <f>KQ83-(KR82-KR83)</f>
        <v/>
      </c>
      <c r="KT83">
        <f>MAX(0,KS83*(1+$K$32)-$L$32)</f>
        <v/>
      </c>
      <c r="KU83">
        <f>KU82-MIN(KU82,KT83)</f>
        <v/>
      </c>
      <c r="KV83">
        <f>KT83-(KU82-KU83)</f>
        <v/>
      </c>
      <c r="KW83">
        <f>MAX(0,KV83*(1+$K$32)-$L$32)</f>
        <v/>
      </c>
      <c r="KX83">
        <f>KX82-MIN(KX82,KW83)</f>
        <v/>
      </c>
      <c r="KY83">
        <f>KW83-(KX82-KX83)</f>
        <v/>
      </c>
      <c r="KZ83">
        <f>MAX(0,KY83*(1+$K$32)-$L$32)</f>
        <v/>
      </c>
      <c r="LA83">
        <f>LA82-MIN(LA82,KZ83)</f>
        <v/>
      </c>
      <c r="LB83">
        <f>KZ83-(LA82-LA83)</f>
        <v/>
      </c>
      <c r="LC83">
        <f>MAX(0,LB83*(1+$K$32)-$L$32)</f>
        <v/>
      </c>
      <c r="LD83">
        <f>LD82-MIN(LD82,LC83)</f>
        <v/>
      </c>
      <c r="LE83">
        <f>LC83-(LD82-LD83)</f>
        <v/>
      </c>
      <c r="LF83">
        <f>MAX(0,LE83*(1+$K$32)-$L$32)</f>
        <v/>
      </c>
      <c r="LG83">
        <f>LG82-MIN(LG82,LF83)</f>
        <v/>
      </c>
      <c r="LH83">
        <f>LF83-(LG82-LG83)</f>
        <v/>
      </c>
      <c r="LI83">
        <f>MAX(0,LH83*(1+$K$32)-$L$32)</f>
        <v/>
      </c>
      <c r="LJ83">
        <f>LJ82-MIN(LJ82,LI83)</f>
        <v/>
      </c>
      <c r="LK83">
        <f>LI83-(LJ82-LJ83)</f>
        <v/>
      </c>
      <c r="LL83">
        <f>MAX(0,LK83*(1+$K$32)-$L$32)</f>
        <v/>
      </c>
      <c r="LM83">
        <f>LM82-MIN(LM82,LL83)</f>
        <v/>
      </c>
      <c r="LN83">
        <f>LL83-(LM82-LM83)</f>
        <v/>
      </c>
      <c r="LO83">
        <f>MAX(0,LN83*(1+$K$32)-$L$32)</f>
        <v/>
      </c>
      <c r="LP83">
        <f>LP82-MIN(LP82,LO83)</f>
        <v/>
      </c>
      <c r="LQ83">
        <f>LO83-(LP82-LP83)</f>
        <v/>
      </c>
      <c r="LR83">
        <f>MAX(0,LQ83*(1+$K$32)-$L$32)</f>
        <v/>
      </c>
      <c r="LS83">
        <f>LS82-MIN(LS82,LR83)</f>
        <v/>
      </c>
      <c r="LT83">
        <f>LR83-(LS82-LS83)</f>
        <v/>
      </c>
      <c r="LU83">
        <f>MAX(0,LT83*(1+$K$32)-$L$32)</f>
        <v/>
      </c>
      <c r="LV83">
        <f>LV82-MIN(LV82,LU83)</f>
        <v/>
      </c>
      <c r="LW83">
        <f>LU83-(LV82-LV83)</f>
        <v/>
      </c>
      <c r="LX83">
        <f>MAX(0,LW83*(1+$K$32)-$L$32)</f>
        <v/>
      </c>
      <c r="LY83">
        <f>LY82-MIN(LY82,LX83)</f>
        <v/>
      </c>
      <c r="LZ83">
        <f>LX83-(LY82-LY83)</f>
        <v/>
      </c>
      <c r="MA83">
        <f>MAX(0,LZ83*(1+$K$32)-$L$32)</f>
        <v/>
      </c>
      <c r="MB83">
        <f>MB82-MIN(MB82,MA83)</f>
        <v/>
      </c>
      <c r="MC83">
        <f>MA83-(MB82-MB83)</f>
        <v/>
      </c>
      <c r="MD83">
        <f>MAX(0,MC83*(1+$K$32)-$L$32)</f>
        <v/>
      </c>
      <c r="ME83">
        <f>ME82-MIN(ME82,MD83)</f>
        <v/>
      </c>
      <c r="MF83">
        <f>MD83-(ME82-ME83)</f>
        <v/>
      </c>
      <c r="MG83">
        <f>MAX(0,MF83*(1+$K$32)-$L$32)</f>
        <v/>
      </c>
      <c r="MH83">
        <f>MH82-MIN(MH82,MG83)</f>
        <v/>
      </c>
      <c r="MI83">
        <f>MG83-(MH82-MH83)</f>
        <v/>
      </c>
      <c r="MJ83">
        <f>MAX(0,MI83*(1+$K$32)-$L$32)</f>
        <v/>
      </c>
      <c r="MK83">
        <f>MK82-MIN(MK82,MJ83)</f>
        <v/>
      </c>
      <c r="ML83">
        <f>MJ83-(MK82-MK83)</f>
        <v/>
      </c>
      <c r="MM83">
        <f>MAX(0,ML83*(1+$K$32)-$L$32)</f>
        <v/>
      </c>
      <c r="MN83">
        <f>MN82-MIN(MN82,MM83)</f>
        <v/>
      </c>
      <c r="MO83">
        <f>MM83-(MN82-MN83)</f>
        <v/>
      </c>
      <c r="MP83">
        <f>MAX(0,MO83*(1+$K$32)-$L$32)</f>
        <v/>
      </c>
      <c r="MQ83">
        <f>MQ82-MIN(MQ82,MP83)</f>
        <v/>
      </c>
      <c r="MR83">
        <f>MP83-(MQ82-MQ83)</f>
        <v/>
      </c>
      <c r="MS83">
        <f>MAX(0,MR83*(1+$K$32)-$L$32)</f>
        <v/>
      </c>
      <c r="MT83">
        <f>MT82-MIN(MT82,MS83)</f>
        <v/>
      </c>
      <c r="MU83">
        <f>MS83-(MT82-MT83)</f>
        <v/>
      </c>
      <c r="MV83">
        <f>MAX(0,MU83*(1+$K$32)-$L$32)</f>
        <v/>
      </c>
      <c r="MW83">
        <f>MW82-MIN(MW82,MV83)</f>
        <v/>
      </c>
      <c r="MX83">
        <f>MV83-(MW82-MW83)</f>
        <v/>
      </c>
    </row>
    <row r="84">
      <c r="A84" t="inlineStr">
        <is>
          <t>slot 10</t>
        </is>
      </c>
      <c r="B84">
        <f>J33</f>
        <v/>
      </c>
      <c r="C84">
        <f>MAX(0,B84*(1+$K$33)-$L$33)</f>
        <v/>
      </c>
      <c r="D84">
        <f>D83-MIN(D83,C84)</f>
        <v/>
      </c>
      <c r="E84">
        <f>C84-(D83-D84)</f>
        <v/>
      </c>
      <c r="F84">
        <f>MAX(0,E84*(1+$K$33)-$L$33)</f>
        <v/>
      </c>
      <c r="G84">
        <f>G83-MIN(G83,F84)</f>
        <v/>
      </c>
      <c r="H84">
        <f>F84-(G83-G84)</f>
        <v/>
      </c>
      <c r="I84">
        <f>MAX(0,H84*(1+$K$33)-$L$33)</f>
        <v/>
      </c>
      <c r="J84">
        <f>J83-MIN(J83,I84)</f>
        <v/>
      </c>
      <c r="K84">
        <f>I84-(J83-J84)</f>
        <v/>
      </c>
      <c r="L84">
        <f>MAX(0,K84*(1+$K$33)-$L$33)</f>
        <v/>
      </c>
      <c r="M84">
        <f>M83-MIN(M83,L84)</f>
        <v/>
      </c>
      <c r="N84">
        <f>L84-(M83-M84)</f>
        <v/>
      </c>
      <c r="O84">
        <f>MAX(0,N84*(1+$K$33)-$L$33)</f>
        <v/>
      </c>
      <c r="P84">
        <f>P83-MIN(P83,O84)</f>
        <v/>
      </c>
      <c r="Q84">
        <f>O84-(P83-P84)</f>
        <v/>
      </c>
      <c r="R84">
        <f>MAX(0,Q84*(1+$K$33)-$L$33)</f>
        <v/>
      </c>
      <c r="S84">
        <f>S83-MIN(S83,R84)</f>
        <v/>
      </c>
      <c r="T84">
        <f>R84-(S83-S84)</f>
        <v/>
      </c>
      <c r="U84">
        <f>MAX(0,T84*(1+$K$33)-$L$33)</f>
        <v/>
      </c>
      <c r="V84">
        <f>V83-MIN(V83,U84)</f>
        <v/>
      </c>
      <c r="W84">
        <f>U84-(V83-V84)</f>
        <v/>
      </c>
      <c r="X84">
        <f>MAX(0,W84*(1+$K$33)-$L$33)</f>
        <v/>
      </c>
      <c r="Y84">
        <f>Y83-MIN(Y83,X84)</f>
        <v/>
      </c>
      <c r="Z84">
        <f>X84-(Y83-Y84)</f>
        <v/>
      </c>
      <c r="AA84">
        <f>MAX(0,Z84*(1+$K$33)-$L$33)</f>
        <v/>
      </c>
      <c r="AB84">
        <f>AB83-MIN(AB83,AA84)</f>
        <v/>
      </c>
      <c r="AC84">
        <f>AA84-(AB83-AB84)</f>
        <v/>
      </c>
      <c r="AD84">
        <f>MAX(0,AC84*(1+$K$33)-$L$33)</f>
        <v/>
      </c>
      <c r="AE84">
        <f>AE83-MIN(AE83,AD84)</f>
        <v/>
      </c>
      <c r="AF84">
        <f>AD84-(AE83-AE84)</f>
        <v/>
      </c>
      <c r="AG84">
        <f>MAX(0,AF84*(1+$K$33)-$L$33)</f>
        <v/>
      </c>
      <c r="AH84">
        <f>AH83-MIN(AH83,AG84)</f>
        <v/>
      </c>
      <c r="AI84">
        <f>AG84-(AH83-AH84)</f>
        <v/>
      </c>
      <c r="AJ84">
        <f>MAX(0,AI84*(1+$K$33)-$L$33)</f>
        <v/>
      </c>
      <c r="AK84">
        <f>AK83-MIN(AK83,AJ84)</f>
        <v/>
      </c>
      <c r="AL84">
        <f>AJ84-(AK83-AK84)</f>
        <v/>
      </c>
      <c r="AM84">
        <f>MAX(0,AL84*(1+$K$33)-$L$33)</f>
        <v/>
      </c>
      <c r="AN84">
        <f>AN83-MIN(AN83,AM84)</f>
        <v/>
      </c>
      <c r="AO84">
        <f>AM84-(AN83-AN84)</f>
        <v/>
      </c>
      <c r="AP84">
        <f>MAX(0,AO84*(1+$K$33)-$L$33)</f>
        <v/>
      </c>
      <c r="AQ84">
        <f>AQ83-MIN(AQ83,AP84)</f>
        <v/>
      </c>
      <c r="AR84">
        <f>AP84-(AQ83-AQ84)</f>
        <v/>
      </c>
      <c r="AS84">
        <f>MAX(0,AR84*(1+$K$33)-$L$33)</f>
        <v/>
      </c>
      <c r="AT84">
        <f>AT83-MIN(AT83,AS84)</f>
        <v/>
      </c>
      <c r="AU84">
        <f>AS84-(AT83-AT84)</f>
        <v/>
      </c>
      <c r="AV84">
        <f>MAX(0,AU84*(1+$K$33)-$L$33)</f>
        <v/>
      </c>
      <c r="AW84">
        <f>AW83-MIN(AW83,AV84)</f>
        <v/>
      </c>
      <c r="AX84">
        <f>AV84-(AW83-AW84)</f>
        <v/>
      </c>
      <c r="AY84">
        <f>MAX(0,AX84*(1+$K$33)-$L$33)</f>
        <v/>
      </c>
      <c r="AZ84">
        <f>AZ83-MIN(AZ83,AY84)</f>
        <v/>
      </c>
      <c r="BA84">
        <f>AY84-(AZ83-AZ84)</f>
        <v/>
      </c>
      <c r="BB84">
        <f>MAX(0,BA84*(1+$K$33)-$L$33)</f>
        <v/>
      </c>
      <c r="BC84">
        <f>BC83-MIN(BC83,BB84)</f>
        <v/>
      </c>
      <c r="BD84">
        <f>BB84-(BC83-BC84)</f>
        <v/>
      </c>
      <c r="BE84">
        <f>MAX(0,BD84*(1+$K$33)-$L$33)</f>
        <v/>
      </c>
      <c r="BF84">
        <f>BF83-MIN(BF83,BE84)</f>
        <v/>
      </c>
      <c r="BG84">
        <f>BE84-(BF83-BF84)</f>
        <v/>
      </c>
      <c r="BH84">
        <f>MAX(0,BG84*(1+$K$33)-$L$33)</f>
        <v/>
      </c>
      <c r="BI84">
        <f>BI83-MIN(BI83,BH84)</f>
        <v/>
      </c>
      <c r="BJ84">
        <f>BH84-(BI83-BI84)</f>
        <v/>
      </c>
      <c r="BK84">
        <f>MAX(0,BJ84*(1+$K$33)-$L$33)</f>
        <v/>
      </c>
      <c r="BL84">
        <f>BL83-MIN(BL83,BK84)</f>
        <v/>
      </c>
      <c r="BM84">
        <f>BK84-(BL83-BL84)</f>
        <v/>
      </c>
      <c r="BN84">
        <f>MAX(0,BM84*(1+$K$33)-$L$33)</f>
        <v/>
      </c>
      <c r="BO84">
        <f>BO83-MIN(BO83,BN84)</f>
        <v/>
      </c>
      <c r="BP84">
        <f>BN84-(BO83-BO84)</f>
        <v/>
      </c>
      <c r="BQ84">
        <f>MAX(0,BP84*(1+$K$33)-$L$33)</f>
        <v/>
      </c>
      <c r="BR84">
        <f>BR83-MIN(BR83,BQ84)</f>
        <v/>
      </c>
      <c r="BS84">
        <f>BQ84-(BR83-BR84)</f>
        <v/>
      </c>
      <c r="BT84">
        <f>MAX(0,BS84*(1+$K$33)-$L$33)</f>
        <v/>
      </c>
      <c r="BU84">
        <f>BU83-MIN(BU83,BT84)</f>
        <v/>
      </c>
      <c r="BV84">
        <f>BT84-(BU83-BU84)</f>
        <v/>
      </c>
      <c r="BW84">
        <f>MAX(0,BV84*(1+$K$33)-$L$33)</f>
        <v/>
      </c>
      <c r="BX84">
        <f>BX83-MIN(BX83,BW84)</f>
        <v/>
      </c>
      <c r="BY84">
        <f>BW84-(BX83-BX84)</f>
        <v/>
      </c>
      <c r="BZ84">
        <f>MAX(0,BY84*(1+$K$33)-$L$33)</f>
        <v/>
      </c>
      <c r="CA84">
        <f>CA83-MIN(CA83,BZ84)</f>
        <v/>
      </c>
      <c r="CB84">
        <f>BZ84-(CA83-CA84)</f>
        <v/>
      </c>
      <c r="CC84">
        <f>MAX(0,CB84*(1+$K$33)-$L$33)</f>
        <v/>
      </c>
      <c r="CD84">
        <f>CD83-MIN(CD83,CC84)</f>
        <v/>
      </c>
      <c r="CE84">
        <f>CC84-(CD83-CD84)</f>
        <v/>
      </c>
      <c r="CF84">
        <f>MAX(0,CE84*(1+$K$33)-$L$33)</f>
        <v/>
      </c>
      <c r="CG84">
        <f>CG83-MIN(CG83,CF84)</f>
        <v/>
      </c>
      <c r="CH84">
        <f>CF84-(CG83-CG84)</f>
        <v/>
      </c>
      <c r="CI84">
        <f>MAX(0,CH84*(1+$K$33)-$L$33)</f>
        <v/>
      </c>
      <c r="CJ84">
        <f>CJ83-MIN(CJ83,CI84)</f>
        <v/>
      </c>
      <c r="CK84">
        <f>CI84-(CJ83-CJ84)</f>
        <v/>
      </c>
      <c r="CL84">
        <f>MAX(0,CK84*(1+$K$33)-$L$33)</f>
        <v/>
      </c>
      <c r="CM84">
        <f>CM83-MIN(CM83,CL84)</f>
        <v/>
      </c>
      <c r="CN84">
        <f>CL84-(CM83-CM84)</f>
        <v/>
      </c>
      <c r="CO84">
        <f>MAX(0,CN84*(1+$K$33)-$L$33)</f>
        <v/>
      </c>
      <c r="CP84">
        <f>CP83-MIN(CP83,CO84)</f>
        <v/>
      </c>
      <c r="CQ84">
        <f>CO84-(CP83-CP84)</f>
        <v/>
      </c>
      <c r="CR84">
        <f>MAX(0,CQ84*(1+$K$33)-$L$33)</f>
        <v/>
      </c>
      <c r="CS84">
        <f>CS83-MIN(CS83,CR84)</f>
        <v/>
      </c>
      <c r="CT84">
        <f>CR84-(CS83-CS84)</f>
        <v/>
      </c>
      <c r="CU84">
        <f>MAX(0,CT84*(1+$K$33)-$L$33)</f>
        <v/>
      </c>
      <c r="CV84">
        <f>CV83-MIN(CV83,CU84)</f>
        <v/>
      </c>
      <c r="CW84">
        <f>CU84-(CV83-CV84)</f>
        <v/>
      </c>
      <c r="CX84">
        <f>MAX(0,CW84*(1+$K$33)-$L$33)</f>
        <v/>
      </c>
      <c r="CY84">
        <f>CY83-MIN(CY83,CX84)</f>
        <v/>
      </c>
      <c r="CZ84">
        <f>CX84-(CY83-CY84)</f>
        <v/>
      </c>
      <c r="DA84">
        <f>MAX(0,CZ84*(1+$K$33)-$L$33)</f>
        <v/>
      </c>
      <c r="DB84">
        <f>DB83-MIN(DB83,DA84)</f>
        <v/>
      </c>
      <c r="DC84">
        <f>DA84-(DB83-DB84)</f>
        <v/>
      </c>
      <c r="DD84">
        <f>MAX(0,DC84*(1+$K$33)-$L$33)</f>
        <v/>
      </c>
      <c r="DE84">
        <f>DE83-MIN(DE83,DD84)</f>
        <v/>
      </c>
      <c r="DF84">
        <f>DD84-(DE83-DE84)</f>
        <v/>
      </c>
      <c r="DG84">
        <f>MAX(0,DF84*(1+$K$33)-$L$33)</f>
        <v/>
      </c>
      <c r="DH84">
        <f>DH83-MIN(DH83,DG84)</f>
        <v/>
      </c>
      <c r="DI84">
        <f>DG84-(DH83-DH84)</f>
        <v/>
      </c>
      <c r="DJ84">
        <f>MAX(0,DI84*(1+$K$33)-$L$33)</f>
        <v/>
      </c>
      <c r="DK84">
        <f>DK83-MIN(DK83,DJ84)</f>
        <v/>
      </c>
      <c r="DL84">
        <f>DJ84-(DK83-DK84)</f>
        <v/>
      </c>
      <c r="DM84">
        <f>MAX(0,DL84*(1+$K$33)-$L$33)</f>
        <v/>
      </c>
      <c r="DN84">
        <f>DN83-MIN(DN83,DM84)</f>
        <v/>
      </c>
      <c r="DO84">
        <f>DM84-(DN83-DN84)</f>
        <v/>
      </c>
      <c r="DP84">
        <f>MAX(0,DO84*(1+$K$33)-$L$33)</f>
        <v/>
      </c>
      <c r="DQ84">
        <f>DQ83-MIN(DQ83,DP84)</f>
        <v/>
      </c>
      <c r="DR84">
        <f>DP84-(DQ83-DQ84)</f>
        <v/>
      </c>
      <c r="DS84">
        <f>MAX(0,DR84*(1+$K$33)-$L$33)</f>
        <v/>
      </c>
      <c r="DT84">
        <f>DT83-MIN(DT83,DS84)</f>
        <v/>
      </c>
      <c r="DU84">
        <f>DS84-(DT83-DT84)</f>
        <v/>
      </c>
      <c r="DV84">
        <f>MAX(0,DU84*(1+$K$33)-$L$33)</f>
        <v/>
      </c>
      <c r="DW84">
        <f>DW83-MIN(DW83,DV84)</f>
        <v/>
      </c>
      <c r="DX84">
        <f>DV84-(DW83-DW84)</f>
        <v/>
      </c>
      <c r="DY84">
        <f>MAX(0,DX84*(1+$K$33)-$L$33)</f>
        <v/>
      </c>
      <c r="DZ84">
        <f>DZ83-MIN(DZ83,DY84)</f>
        <v/>
      </c>
      <c r="EA84">
        <f>DY84-(DZ83-DZ84)</f>
        <v/>
      </c>
      <c r="EB84">
        <f>MAX(0,EA84*(1+$K$33)-$L$33)</f>
        <v/>
      </c>
      <c r="EC84">
        <f>EC83-MIN(EC83,EB84)</f>
        <v/>
      </c>
      <c r="ED84">
        <f>EB84-(EC83-EC84)</f>
        <v/>
      </c>
      <c r="EE84">
        <f>MAX(0,ED84*(1+$K$33)-$L$33)</f>
        <v/>
      </c>
      <c r="EF84">
        <f>EF83-MIN(EF83,EE84)</f>
        <v/>
      </c>
      <c r="EG84">
        <f>EE84-(EF83-EF84)</f>
        <v/>
      </c>
      <c r="EH84">
        <f>MAX(0,EG84*(1+$K$33)-$L$33)</f>
        <v/>
      </c>
      <c r="EI84">
        <f>EI83-MIN(EI83,EH84)</f>
        <v/>
      </c>
      <c r="EJ84">
        <f>EH84-(EI83-EI84)</f>
        <v/>
      </c>
      <c r="EK84">
        <f>MAX(0,EJ84*(1+$K$33)-$L$33)</f>
        <v/>
      </c>
      <c r="EL84">
        <f>EL83-MIN(EL83,EK84)</f>
        <v/>
      </c>
      <c r="EM84">
        <f>EK84-(EL83-EL84)</f>
        <v/>
      </c>
      <c r="EN84">
        <f>MAX(0,EM84*(1+$K$33)-$L$33)</f>
        <v/>
      </c>
      <c r="EO84">
        <f>EO83-MIN(EO83,EN84)</f>
        <v/>
      </c>
      <c r="EP84">
        <f>EN84-(EO83-EO84)</f>
        <v/>
      </c>
      <c r="EQ84">
        <f>MAX(0,EP84*(1+$K$33)-$L$33)</f>
        <v/>
      </c>
      <c r="ER84">
        <f>ER83-MIN(ER83,EQ84)</f>
        <v/>
      </c>
      <c r="ES84">
        <f>EQ84-(ER83-ER84)</f>
        <v/>
      </c>
      <c r="ET84">
        <f>MAX(0,ES84*(1+$K$33)-$L$33)</f>
        <v/>
      </c>
      <c r="EU84">
        <f>EU83-MIN(EU83,ET84)</f>
        <v/>
      </c>
      <c r="EV84">
        <f>ET84-(EU83-EU84)</f>
        <v/>
      </c>
      <c r="EW84">
        <f>MAX(0,EV84*(1+$K$33)-$L$33)</f>
        <v/>
      </c>
      <c r="EX84">
        <f>EX83-MIN(EX83,EW84)</f>
        <v/>
      </c>
      <c r="EY84">
        <f>EW84-(EX83-EX84)</f>
        <v/>
      </c>
      <c r="EZ84">
        <f>MAX(0,EY84*(1+$K$33)-$L$33)</f>
        <v/>
      </c>
      <c r="FA84">
        <f>FA83-MIN(FA83,EZ84)</f>
        <v/>
      </c>
      <c r="FB84">
        <f>EZ84-(FA83-FA84)</f>
        <v/>
      </c>
      <c r="FC84">
        <f>MAX(0,FB84*(1+$K$33)-$L$33)</f>
        <v/>
      </c>
      <c r="FD84">
        <f>FD83-MIN(FD83,FC84)</f>
        <v/>
      </c>
      <c r="FE84">
        <f>FC84-(FD83-FD84)</f>
        <v/>
      </c>
      <c r="FF84">
        <f>MAX(0,FE84*(1+$K$33)-$L$33)</f>
        <v/>
      </c>
      <c r="FG84">
        <f>FG83-MIN(FG83,FF84)</f>
        <v/>
      </c>
      <c r="FH84">
        <f>FF84-(FG83-FG84)</f>
        <v/>
      </c>
      <c r="FI84">
        <f>MAX(0,FH84*(1+$K$33)-$L$33)</f>
        <v/>
      </c>
      <c r="FJ84">
        <f>FJ83-MIN(FJ83,FI84)</f>
        <v/>
      </c>
      <c r="FK84">
        <f>FI84-(FJ83-FJ84)</f>
        <v/>
      </c>
      <c r="FL84">
        <f>MAX(0,FK84*(1+$K$33)-$L$33)</f>
        <v/>
      </c>
      <c r="FM84">
        <f>FM83-MIN(FM83,FL84)</f>
        <v/>
      </c>
      <c r="FN84">
        <f>FL84-(FM83-FM84)</f>
        <v/>
      </c>
      <c r="FO84">
        <f>MAX(0,FN84*(1+$K$33)-$L$33)</f>
        <v/>
      </c>
      <c r="FP84">
        <f>FP83-MIN(FP83,FO84)</f>
        <v/>
      </c>
      <c r="FQ84">
        <f>FO84-(FP83-FP84)</f>
        <v/>
      </c>
      <c r="FR84">
        <f>MAX(0,FQ84*(1+$K$33)-$L$33)</f>
        <v/>
      </c>
      <c r="FS84">
        <f>FS83-MIN(FS83,FR84)</f>
        <v/>
      </c>
      <c r="FT84">
        <f>FR84-(FS83-FS84)</f>
        <v/>
      </c>
      <c r="FU84">
        <f>MAX(0,FT84*(1+$K$33)-$L$33)</f>
        <v/>
      </c>
      <c r="FV84">
        <f>FV83-MIN(FV83,FU84)</f>
        <v/>
      </c>
      <c r="FW84">
        <f>FU84-(FV83-FV84)</f>
        <v/>
      </c>
      <c r="FX84">
        <f>MAX(0,FW84*(1+$K$33)-$L$33)</f>
        <v/>
      </c>
      <c r="FY84">
        <f>FY83-MIN(FY83,FX84)</f>
        <v/>
      </c>
      <c r="FZ84">
        <f>FX84-(FY83-FY84)</f>
        <v/>
      </c>
      <c r="GA84">
        <f>MAX(0,FZ84*(1+$K$33)-$L$33)</f>
        <v/>
      </c>
      <c r="GB84">
        <f>GB83-MIN(GB83,GA84)</f>
        <v/>
      </c>
      <c r="GC84">
        <f>GA84-(GB83-GB84)</f>
        <v/>
      </c>
      <c r="GD84">
        <f>MAX(0,GC84*(1+$K$33)-$L$33)</f>
        <v/>
      </c>
      <c r="GE84">
        <f>GE83-MIN(GE83,GD84)</f>
        <v/>
      </c>
      <c r="GF84">
        <f>GD84-(GE83-GE84)</f>
        <v/>
      </c>
      <c r="GG84">
        <f>MAX(0,GF84*(1+$K$33)-$L$33)</f>
        <v/>
      </c>
      <c r="GH84">
        <f>GH83-MIN(GH83,GG84)</f>
        <v/>
      </c>
      <c r="GI84">
        <f>GG84-(GH83-GH84)</f>
        <v/>
      </c>
      <c r="GJ84">
        <f>MAX(0,GI84*(1+$K$33)-$L$33)</f>
        <v/>
      </c>
      <c r="GK84">
        <f>GK83-MIN(GK83,GJ84)</f>
        <v/>
      </c>
      <c r="GL84">
        <f>GJ84-(GK83-GK84)</f>
        <v/>
      </c>
      <c r="GM84">
        <f>MAX(0,GL84*(1+$K$33)-$L$33)</f>
        <v/>
      </c>
      <c r="GN84">
        <f>GN83-MIN(GN83,GM84)</f>
        <v/>
      </c>
      <c r="GO84">
        <f>GM84-(GN83-GN84)</f>
        <v/>
      </c>
      <c r="GP84">
        <f>MAX(0,GO84*(1+$K$33)-$L$33)</f>
        <v/>
      </c>
      <c r="GQ84">
        <f>GQ83-MIN(GQ83,GP84)</f>
        <v/>
      </c>
      <c r="GR84">
        <f>GP84-(GQ83-GQ84)</f>
        <v/>
      </c>
      <c r="GS84">
        <f>MAX(0,GR84*(1+$K$33)-$L$33)</f>
        <v/>
      </c>
      <c r="GT84">
        <f>GT83-MIN(GT83,GS84)</f>
        <v/>
      </c>
      <c r="GU84">
        <f>GS84-(GT83-GT84)</f>
        <v/>
      </c>
      <c r="GV84">
        <f>MAX(0,GU84*(1+$K$33)-$L$33)</f>
        <v/>
      </c>
      <c r="GW84">
        <f>GW83-MIN(GW83,GV84)</f>
        <v/>
      </c>
      <c r="GX84">
        <f>GV84-(GW83-GW84)</f>
        <v/>
      </c>
      <c r="GY84">
        <f>MAX(0,GX84*(1+$K$33)-$L$33)</f>
        <v/>
      </c>
      <c r="GZ84">
        <f>GZ83-MIN(GZ83,GY84)</f>
        <v/>
      </c>
      <c r="HA84">
        <f>GY84-(GZ83-GZ84)</f>
        <v/>
      </c>
      <c r="HB84">
        <f>MAX(0,HA84*(1+$K$33)-$L$33)</f>
        <v/>
      </c>
      <c r="HC84">
        <f>HC83-MIN(HC83,HB84)</f>
        <v/>
      </c>
      <c r="HD84">
        <f>HB84-(HC83-HC84)</f>
        <v/>
      </c>
      <c r="HE84">
        <f>MAX(0,HD84*(1+$K$33)-$L$33)</f>
        <v/>
      </c>
      <c r="HF84">
        <f>HF83-MIN(HF83,HE84)</f>
        <v/>
      </c>
      <c r="HG84">
        <f>HE84-(HF83-HF84)</f>
        <v/>
      </c>
      <c r="HH84">
        <f>MAX(0,HG84*(1+$K$33)-$L$33)</f>
        <v/>
      </c>
      <c r="HI84">
        <f>HI83-MIN(HI83,HH84)</f>
        <v/>
      </c>
      <c r="HJ84">
        <f>HH84-(HI83-HI84)</f>
        <v/>
      </c>
      <c r="HK84">
        <f>MAX(0,HJ84*(1+$K$33)-$L$33)</f>
        <v/>
      </c>
      <c r="HL84">
        <f>HL83-MIN(HL83,HK84)</f>
        <v/>
      </c>
      <c r="HM84">
        <f>HK84-(HL83-HL84)</f>
        <v/>
      </c>
      <c r="HN84">
        <f>MAX(0,HM84*(1+$K$33)-$L$33)</f>
        <v/>
      </c>
      <c r="HO84">
        <f>HO83-MIN(HO83,HN84)</f>
        <v/>
      </c>
      <c r="HP84">
        <f>HN84-(HO83-HO84)</f>
        <v/>
      </c>
      <c r="HQ84">
        <f>MAX(0,HP84*(1+$K$33)-$L$33)</f>
        <v/>
      </c>
      <c r="HR84">
        <f>HR83-MIN(HR83,HQ84)</f>
        <v/>
      </c>
      <c r="HS84">
        <f>HQ84-(HR83-HR84)</f>
        <v/>
      </c>
      <c r="HT84">
        <f>MAX(0,HS84*(1+$K$33)-$L$33)</f>
        <v/>
      </c>
      <c r="HU84">
        <f>HU83-MIN(HU83,HT84)</f>
        <v/>
      </c>
      <c r="HV84">
        <f>HT84-(HU83-HU84)</f>
        <v/>
      </c>
      <c r="HW84">
        <f>MAX(0,HV84*(1+$K$33)-$L$33)</f>
        <v/>
      </c>
      <c r="HX84">
        <f>HX83-MIN(HX83,HW84)</f>
        <v/>
      </c>
      <c r="HY84">
        <f>HW84-(HX83-HX84)</f>
        <v/>
      </c>
      <c r="HZ84">
        <f>MAX(0,HY84*(1+$K$33)-$L$33)</f>
        <v/>
      </c>
      <c r="IA84">
        <f>IA83-MIN(IA83,HZ84)</f>
        <v/>
      </c>
      <c r="IB84">
        <f>HZ84-(IA83-IA84)</f>
        <v/>
      </c>
      <c r="IC84">
        <f>MAX(0,IB84*(1+$K$33)-$L$33)</f>
        <v/>
      </c>
      <c r="ID84">
        <f>ID83-MIN(ID83,IC84)</f>
        <v/>
      </c>
      <c r="IE84">
        <f>IC84-(ID83-ID84)</f>
        <v/>
      </c>
      <c r="IF84">
        <f>MAX(0,IE84*(1+$K$33)-$L$33)</f>
        <v/>
      </c>
      <c r="IG84">
        <f>IG83-MIN(IG83,IF84)</f>
        <v/>
      </c>
      <c r="IH84">
        <f>IF84-(IG83-IG84)</f>
        <v/>
      </c>
      <c r="II84">
        <f>MAX(0,IH84*(1+$K$33)-$L$33)</f>
        <v/>
      </c>
      <c r="IJ84">
        <f>IJ83-MIN(IJ83,II84)</f>
        <v/>
      </c>
      <c r="IK84">
        <f>II84-(IJ83-IJ84)</f>
        <v/>
      </c>
      <c r="IL84">
        <f>MAX(0,IK84*(1+$K$33)-$L$33)</f>
        <v/>
      </c>
      <c r="IM84">
        <f>IM83-MIN(IM83,IL84)</f>
        <v/>
      </c>
      <c r="IN84">
        <f>IL84-(IM83-IM84)</f>
        <v/>
      </c>
      <c r="IO84">
        <f>MAX(0,IN84*(1+$K$33)-$L$33)</f>
        <v/>
      </c>
      <c r="IP84">
        <f>IP83-MIN(IP83,IO84)</f>
        <v/>
      </c>
      <c r="IQ84">
        <f>IO84-(IP83-IP84)</f>
        <v/>
      </c>
      <c r="IR84">
        <f>MAX(0,IQ84*(1+$K$33)-$L$33)</f>
        <v/>
      </c>
      <c r="IS84">
        <f>IS83-MIN(IS83,IR84)</f>
        <v/>
      </c>
      <c r="IT84">
        <f>IR84-(IS83-IS84)</f>
        <v/>
      </c>
      <c r="IU84">
        <f>MAX(0,IT84*(1+$K$33)-$L$33)</f>
        <v/>
      </c>
      <c r="IV84">
        <f>IV83-MIN(IV83,IU84)</f>
        <v/>
      </c>
      <c r="IW84">
        <f>IU84-(IV83-IV84)</f>
        <v/>
      </c>
      <c r="IX84">
        <f>MAX(0,IW84*(1+$K$33)-$L$33)</f>
        <v/>
      </c>
      <c r="IY84">
        <f>IY83-MIN(IY83,IX84)</f>
        <v/>
      </c>
      <c r="IZ84">
        <f>IX84-(IY83-IY84)</f>
        <v/>
      </c>
      <c r="JA84">
        <f>MAX(0,IZ84*(1+$K$33)-$L$33)</f>
        <v/>
      </c>
      <c r="JB84">
        <f>JB83-MIN(JB83,JA84)</f>
        <v/>
      </c>
      <c r="JC84">
        <f>JA84-(JB83-JB84)</f>
        <v/>
      </c>
      <c r="JD84">
        <f>MAX(0,JC84*(1+$K$33)-$L$33)</f>
        <v/>
      </c>
      <c r="JE84">
        <f>JE83-MIN(JE83,JD84)</f>
        <v/>
      </c>
      <c r="JF84">
        <f>JD84-(JE83-JE84)</f>
        <v/>
      </c>
      <c r="JG84">
        <f>MAX(0,JF84*(1+$K$33)-$L$33)</f>
        <v/>
      </c>
      <c r="JH84">
        <f>JH83-MIN(JH83,JG84)</f>
        <v/>
      </c>
      <c r="JI84">
        <f>JG84-(JH83-JH84)</f>
        <v/>
      </c>
      <c r="JJ84">
        <f>MAX(0,JI84*(1+$K$33)-$L$33)</f>
        <v/>
      </c>
      <c r="JK84">
        <f>JK83-MIN(JK83,JJ84)</f>
        <v/>
      </c>
      <c r="JL84">
        <f>JJ84-(JK83-JK84)</f>
        <v/>
      </c>
      <c r="JM84">
        <f>MAX(0,JL84*(1+$K$33)-$L$33)</f>
        <v/>
      </c>
      <c r="JN84">
        <f>JN83-MIN(JN83,JM84)</f>
        <v/>
      </c>
      <c r="JO84">
        <f>JM84-(JN83-JN84)</f>
        <v/>
      </c>
      <c r="JP84">
        <f>MAX(0,JO84*(1+$K$33)-$L$33)</f>
        <v/>
      </c>
      <c r="JQ84">
        <f>JQ83-MIN(JQ83,JP84)</f>
        <v/>
      </c>
      <c r="JR84">
        <f>JP84-(JQ83-JQ84)</f>
        <v/>
      </c>
      <c r="JS84">
        <f>MAX(0,JR84*(1+$K$33)-$L$33)</f>
        <v/>
      </c>
      <c r="JT84">
        <f>JT83-MIN(JT83,JS84)</f>
        <v/>
      </c>
      <c r="JU84">
        <f>JS84-(JT83-JT84)</f>
        <v/>
      </c>
      <c r="JV84">
        <f>MAX(0,JU84*(1+$K$33)-$L$33)</f>
        <v/>
      </c>
      <c r="JW84">
        <f>JW83-MIN(JW83,JV84)</f>
        <v/>
      </c>
      <c r="JX84">
        <f>JV84-(JW83-JW84)</f>
        <v/>
      </c>
      <c r="JY84">
        <f>MAX(0,JX84*(1+$K$33)-$L$33)</f>
        <v/>
      </c>
      <c r="JZ84">
        <f>JZ83-MIN(JZ83,JY84)</f>
        <v/>
      </c>
      <c r="KA84">
        <f>JY84-(JZ83-JZ84)</f>
        <v/>
      </c>
      <c r="KB84">
        <f>MAX(0,KA84*(1+$K$33)-$L$33)</f>
        <v/>
      </c>
      <c r="KC84">
        <f>KC83-MIN(KC83,KB84)</f>
        <v/>
      </c>
      <c r="KD84">
        <f>KB84-(KC83-KC84)</f>
        <v/>
      </c>
      <c r="KE84">
        <f>MAX(0,KD84*(1+$K$33)-$L$33)</f>
        <v/>
      </c>
      <c r="KF84">
        <f>KF83-MIN(KF83,KE84)</f>
        <v/>
      </c>
      <c r="KG84">
        <f>KE84-(KF83-KF84)</f>
        <v/>
      </c>
      <c r="KH84">
        <f>MAX(0,KG84*(1+$K$33)-$L$33)</f>
        <v/>
      </c>
      <c r="KI84">
        <f>KI83-MIN(KI83,KH84)</f>
        <v/>
      </c>
      <c r="KJ84">
        <f>KH84-(KI83-KI84)</f>
        <v/>
      </c>
      <c r="KK84">
        <f>MAX(0,KJ84*(1+$K$33)-$L$33)</f>
        <v/>
      </c>
      <c r="KL84">
        <f>KL83-MIN(KL83,KK84)</f>
        <v/>
      </c>
      <c r="KM84">
        <f>KK84-(KL83-KL84)</f>
        <v/>
      </c>
      <c r="KN84">
        <f>MAX(0,KM84*(1+$K$33)-$L$33)</f>
        <v/>
      </c>
      <c r="KO84">
        <f>KO83-MIN(KO83,KN84)</f>
        <v/>
      </c>
      <c r="KP84">
        <f>KN84-(KO83-KO84)</f>
        <v/>
      </c>
      <c r="KQ84">
        <f>MAX(0,KP84*(1+$K$33)-$L$33)</f>
        <v/>
      </c>
      <c r="KR84">
        <f>KR83-MIN(KR83,KQ84)</f>
        <v/>
      </c>
      <c r="KS84">
        <f>KQ84-(KR83-KR84)</f>
        <v/>
      </c>
      <c r="KT84">
        <f>MAX(0,KS84*(1+$K$33)-$L$33)</f>
        <v/>
      </c>
      <c r="KU84">
        <f>KU83-MIN(KU83,KT84)</f>
        <v/>
      </c>
      <c r="KV84">
        <f>KT84-(KU83-KU84)</f>
        <v/>
      </c>
      <c r="KW84">
        <f>MAX(0,KV84*(1+$K$33)-$L$33)</f>
        <v/>
      </c>
      <c r="KX84">
        <f>KX83-MIN(KX83,KW84)</f>
        <v/>
      </c>
      <c r="KY84">
        <f>KW84-(KX83-KX84)</f>
        <v/>
      </c>
      <c r="KZ84">
        <f>MAX(0,KY84*(1+$K$33)-$L$33)</f>
        <v/>
      </c>
      <c r="LA84">
        <f>LA83-MIN(LA83,KZ84)</f>
        <v/>
      </c>
      <c r="LB84">
        <f>KZ84-(LA83-LA84)</f>
        <v/>
      </c>
      <c r="LC84">
        <f>MAX(0,LB84*(1+$K$33)-$L$33)</f>
        <v/>
      </c>
      <c r="LD84">
        <f>LD83-MIN(LD83,LC84)</f>
        <v/>
      </c>
      <c r="LE84">
        <f>LC84-(LD83-LD84)</f>
        <v/>
      </c>
      <c r="LF84">
        <f>MAX(0,LE84*(1+$K$33)-$L$33)</f>
        <v/>
      </c>
      <c r="LG84">
        <f>LG83-MIN(LG83,LF84)</f>
        <v/>
      </c>
      <c r="LH84">
        <f>LF84-(LG83-LG84)</f>
        <v/>
      </c>
      <c r="LI84">
        <f>MAX(0,LH84*(1+$K$33)-$L$33)</f>
        <v/>
      </c>
      <c r="LJ84">
        <f>LJ83-MIN(LJ83,LI84)</f>
        <v/>
      </c>
      <c r="LK84">
        <f>LI84-(LJ83-LJ84)</f>
        <v/>
      </c>
      <c r="LL84">
        <f>MAX(0,LK84*(1+$K$33)-$L$33)</f>
        <v/>
      </c>
      <c r="LM84">
        <f>LM83-MIN(LM83,LL84)</f>
        <v/>
      </c>
      <c r="LN84">
        <f>LL84-(LM83-LM84)</f>
        <v/>
      </c>
      <c r="LO84">
        <f>MAX(0,LN84*(1+$K$33)-$L$33)</f>
        <v/>
      </c>
      <c r="LP84">
        <f>LP83-MIN(LP83,LO84)</f>
        <v/>
      </c>
      <c r="LQ84">
        <f>LO84-(LP83-LP84)</f>
        <v/>
      </c>
      <c r="LR84">
        <f>MAX(0,LQ84*(1+$K$33)-$L$33)</f>
        <v/>
      </c>
      <c r="LS84">
        <f>LS83-MIN(LS83,LR84)</f>
        <v/>
      </c>
      <c r="LT84">
        <f>LR84-(LS83-LS84)</f>
        <v/>
      </c>
      <c r="LU84">
        <f>MAX(0,LT84*(1+$K$33)-$L$33)</f>
        <v/>
      </c>
      <c r="LV84">
        <f>LV83-MIN(LV83,LU84)</f>
        <v/>
      </c>
      <c r="LW84">
        <f>LU84-(LV83-LV84)</f>
        <v/>
      </c>
      <c r="LX84">
        <f>MAX(0,LW84*(1+$K$33)-$L$33)</f>
        <v/>
      </c>
      <c r="LY84">
        <f>LY83-MIN(LY83,LX84)</f>
        <v/>
      </c>
      <c r="LZ84">
        <f>LX84-(LY83-LY84)</f>
        <v/>
      </c>
      <c r="MA84">
        <f>MAX(0,LZ84*(1+$K$33)-$L$33)</f>
        <v/>
      </c>
      <c r="MB84">
        <f>MB83-MIN(MB83,MA84)</f>
        <v/>
      </c>
      <c r="MC84">
        <f>MA84-(MB83-MB84)</f>
        <v/>
      </c>
      <c r="MD84">
        <f>MAX(0,MC84*(1+$K$33)-$L$33)</f>
        <v/>
      </c>
      <c r="ME84">
        <f>ME83-MIN(ME83,MD84)</f>
        <v/>
      </c>
      <c r="MF84">
        <f>MD84-(ME83-ME84)</f>
        <v/>
      </c>
      <c r="MG84">
        <f>MAX(0,MF84*(1+$K$33)-$L$33)</f>
        <v/>
      </c>
      <c r="MH84">
        <f>MH83-MIN(MH83,MG84)</f>
        <v/>
      </c>
      <c r="MI84">
        <f>MG84-(MH83-MH84)</f>
        <v/>
      </c>
      <c r="MJ84">
        <f>MAX(0,MI84*(1+$K$33)-$L$33)</f>
        <v/>
      </c>
      <c r="MK84">
        <f>MK83-MIN(MK83,MJ84)</f>
        <v/>
      </c>
      <c r="ML84">
        <f>MJ84-(MK83-MK84)</f>
        <v/>
      </c>
      <c r="MM84">
        <f>MAX(0,ML84*(1+$K$33)-$L$33)</f>
        <v/>
      </c>
      <c r="MN84">
        <f>MN83-MIN(MN83,MM84)</f>
        <v/>
      </c>
      <c r="MO84">
        <f>MM84-(MN83-MN84)</f>
        <v/>
      </c>
      <c r="MP84">
        <f>MAX(0,MO84*(1+$K$33)-$L$33)</f>
        <v/>
      </c>
      <c r="MQ84">
        <f>MQ83-MIN(MQ83,MP84)</f>
        <v/>
      </c>
      <c r="MR84">
        <f>MP84-(MQ83-MQ84)</f>
        <v/>
      </c>
      <c r="MS84">
        <f>MAX(0,MR84*(1+$K$33)-$L$33)</f>
        <v/>
      </c>
      <c r="MT84">
        <f>MT83-MIN(MT83,MS84)</f>
        <v/>
      </c>
      <c r="MU84">
        <f>MS84-(MT83-MT84)</f>
        <v/>
      </c>
      <c r="MV84">
        <f>MAX(0,MU84*(1+$K$33)-$L$33)</f>
        <v/>
      </c>
      <c r="MW84">
        <f>MW83-MIN(MW83,MV84)</f>
        <v/>
      </c>
      <c r="MX84">
        <f>MV84-(MW83-MW84)</f>
        <v/>
      </c>
    </row>
    <row r="85">
      <c r="A85" t="inlineStr">
        <is>
          <t>slot 11</t>
        </is>
      </c>
      <c r="B85">
        <f>J34</f>
        <v/>
      </c>
      <c r="C85">
        <f>MAX(0,B85*(1+$K$34)-$L$34)</f>
        <v/>
      </c>
      <c r="D85">
        <f>D84-MIN(D84,C85)</f>
        <v/>
      </c>
      <c r="E85">
        <f>C85-(D84-D85)</f>
        <v/>
      </c>
      <c r="F85">
        <f>MAX(0,E85*(1+$K$34)-$L$34)</f>
        <v/>
      </c>
      <c r="G85">
        <f>G84-MIN(G84,F85)</f>
        <v/>
      </c>
      <c r="H85">
        <f>F85-(G84-G85)</f>
        <v/>
      </c>
      <c r="I85">
        <f>MAX(0,H85*(1+$K$34)-$L$34)</f>
        <v/>
      </c>
      <c r="J85">
        <f>J84-MIN(J84,I85)</f>
        <v/>
      </c>
      <c r="K85">
        <f>I85-(J84-J85)</f>
        <v/>
      </c>
      <c r="L85">
        <f>MAX(0,K85*(1+$K$34)-$L$34)</f>
        <v/>
      </c>
      <c r="M85">
        <f>M84-MIN(M84,L85)</f>
        <v/>
      </c>
      <c r="N85">
        <f>L85-(M84-M85)</f>
        <v/>
      </c>
      <c r="O85">
        <f>MAX(0,N85*(1+$K$34)-$L$34)</f>
        <v/>
      </c>
      <c r="P85">
        <f>P84-MIN(P84,O85)</f>
        <v/>
      </c>
      <c r="Q85">
        <f>O85-(P84-P85)</f>
        <v/>
      </c>
      <c r="R85">
        <f>MAX(0,Q85*(1+$K$34)-$L$34)</f>
        <v/>
      </c>
      <c r="S85">
        <f>S84-MIN(S84,R85)</f>
        <v/>
      </c>
      <c r="T85">
        <f>R85-(S84-S85)</f>
        <v/>
      </c>
      <c r="U85">
        <f>MAX(0,T85*(1+$K$34)-$L$34)</f>
        <v/>
      </c>
      <c r="V85">
        <f>V84-MIN(V84,U85)</f>
        <v/>
      </c>
      <c r="W85">
        <f>U85-(V84-V85)</f>
        <v/>
      </c>
      <c r="X85">
        <f>MAX(0,W85*(1+$K$34)-$L$34)</f>
        <v/>
      </c>
      <c r="Y85">
        <f>Y84-MIN(Y84,X85)</f>
        <v/>
      </c>
      <c r="Z85">
        <f>X85-(Y84-Y85)</f>
        <v/>
      </c>
      <c r="AA85">
        <f>MAX(0,Z85*(1+$K$34)-$L$34)</f>
        <v/>
      </c>
      <c r="AB85">
        <f>AB84-MIN(AB84,AA85)</f>
        <v/>
      </c>
      <c r="AC85">
        <f>AA85-(AB84-AB85)</f>
        <v/>
      </c>
      <c r="AD85">
        <f>MAX(0,AC85*(1+$K$34)-$L$34)</f>
        <v/>
      </c>
      <c r="AE85">
        <f>AE84-MIN(AE84,AD85)</f>
        <v/>
      </c>
      <c r="AF85">
        <f>AD85-(AE84-AE85)</f>
        <v/>
      </c>
      <c r="AG85">
        <f>MAX(0,AF85*(1+$K$34)-$L$34)</f>
        <v/>
      </c>
      <c r="AH85">
        <f>AH84-MIN(AH84,AG85)</f>
        <v/>
      </c>
      <c r="AI85">
        <f>AG85-(AH84-AH85)</f>
        <v/>
      </c>
      <c r="AJ85">
        <f>MAX(0,AI85*(1+$K$34)-$L$34)</f>
        <v/>
      </c>
      <c r="AK85">
        <f>AK84-MIN(AK84,AJ85)</f>
        <v/>
      </c>
      <c r="AL85">
        <f>AJ85-(AK84-AK85)</f>
        <v/>
      </c>
      <c r="AM85">
        <f>MAX(0,AL85*(1+$K$34)-$L$34)</f>
        <v/>
      </c>
      <c r="AN85">
        <f>AN84-MIN(AN84,AM85)</f>
        <v/>
      </c>
      <c r="AO85">
        <f>AM85-(AN84-AN85)</f>
        <v/>
      </c>
      <c r="AP85">
        <f>MAX(0,AO85*(1+$K$34)-$L$34)</f>
        <v/>
      </c>
      <c r="AQ85">
        <f>AQ84-MIN(AQ84,AP85)</f>
        <v/>
      </c>
      <c r="AR85">
        <f>AP85-(AQ84-AQ85)</f>
        <v/>
      </c>
      <c r="AS85">
        <f>MAX(0,AR85*(1+$K$34)-$L$34)</f>
        <v/>
      </c>
      <c r="AT85">
        <f>AT84-MIN(AT84,AS85)</f>
        <v/>
      </c>
      <c r="AU85">
        <f>AS85-(AT84-AT85)</f>
        <v/>
      </c>
      <c r="AV85">
        <f>MAX(0,AU85*(1+$K$34)-$L$34)</f>
        <v/>
      </c>
      <c r="AW85">
        <f>AW84-MIN(AW84,AV85)</f>
        <v/>
      </c>
      <c r="AX85">
        <f>AV85-(AW84-AW85)</f>
        <v/>
      </c>
      <c r="AY85">
        <f>MAX(0,AX85*(1+$K$34)-$L$34)</f>
        <v/>
      </c>
      <c r="AZ85">
        <f>AZ84-MIN(AZ84,AY85)</f>
        <v/>
      </c>
      <c r="BA85">
        <f>AY85-(AZ84-AZ85)</f>
        <v/>
      </c>
      <c r="BB85">
        <f>MAX(0,BA85*(1+$K$34)-$L$34)</f>
        <v/>
      </c>
      <c r="BC85">
        <f>BC84-MIN(BC84,BB85)</f>
        <v/>
      </c>
      <c r="BD85">
        <f>BB85-(BC84-BC85)</f>
        <v/>
      </c>
      <c r="BE85">
        <f>MAX(0,BD85*(1+$K$34)-$L$34)</f>
        <v/>
      </c>
      <c r="BF85">
        <f>BF84-MIN(BF84,BE85)</f>
        <v/>
      </c>
      <c r="BG85">
        <f>BE85-(BF84-BF85)</f>
        <v/>
      </c>
      <c r="BH85">
        <f>MAX(0,BG85*(1+$K$34)-$L$34)</f>
        <v/>
      </c>
      <c r="BI85">
        <f>BI84-MIN(BI84,BH85)</f>
        <v/>
      </c>
      <c r="BJ85">
        <f>BH85-(BI84-BI85)</f>
        <v/>
      </c>
      <c r="BK85">
        <f>MAX(0,BJ85*(1+$K$34)-$L$34)</f>
        <v/>
      </c>
      <c r="BL85">
        <f>BL84-MIN(BL84,BK85)</f>
        <v/>
      </c>
      <c r="BM85">
        <f>BK85-(BL84-BL85)</f>
        <v/>
      </c>
      <c r="BN85">
        <f>MAX(0,BM85*(1+$K$34)-$L$34)</f>
        <v/>
      </c>
      <c r="BO85">
        <f>BO84-MIN(BO84,BN85)</f>
        <v/>
      </c>
      <c r="BP85">
        <f>BN85-(BO84-BO85)</f>
        <v/>
      </c>
      <c r="BQ85">
        <f>MAX(0,BP85*(1+$K$34)-$L$34)</f>
        <v/>
      </c>
      <c r="BR85">
        <f>BR84-MIN(BR84,BQ85)</f>
        <v/>
      </c>
      <c r="BS85">
        <f>BQ85-(BR84-BR85)</f>
        <v/>
      </c>
      <c r="BT85">
        <f>MAX(0,BS85*(1+$K$34)-$L$34)</f>
        <v/>
      </c>
      <c r="BU85">
        <f>BU84-MIN(BU84,BT85)</f>
        <v/>
      </c>
      <c r="BV85">
        <f>BT85-(BU84-BU85)</f>
        <v/>
      </c>
      <c r="BW85">
        <f>MAX(0,BV85*(1+$K$34)-$L$34)</f>
        <v/>
      </c>
      <c r="BX85">
        <f>BX84-MIN(BX84,BW85)</f>
        <v/>
      </c>
      <c r="BY85">
        <f>BW85-(BX84-BX85)</f>
        <v/>
      </c>
      <c r="BZ85">
        <f>MAX(0,BY85*(1+$K$34)-$L$34)</f>
        <v/>
      </c>
      <c r="CA85">
        <f>CA84-MIN(CA84,BZ85)</f>
        <v/>
      </c>
      <c r="CB85">
        <f>BZ85-(CA84-CA85)</f>
        <v/>
      </c>
      <c r="CC85">
        <f>MAX(0,CB85*(1+$K$34)-$L$34)</f>
        <v/>
      </c>
      <c r="CD85">
        <f>CD84-MIN(CD84,CC85)</f>
        <v/>
      </c>
      <c r="CE85">
        <f>CC85-(CD84-CD85)</f>
        <v/>
      </c>
      <c r="CF85">
        <f>MAX(0,CE85*(1+$K$34)-$L$34)</f>
        <v/>
      </c>
      <c r="CG85">
        <f>CG84-MIN(CG84,CF85)</f>
        <v/>
      </c>
      <c r="CH85">
        <f>CF85-(CG84-CG85)</f>
        <v/>
      </c>
      <c r="CI85">
        <f>MAX(0,CH85*(1+$K$34)-$L$34)</f>
        <v/>
      </c>
      <c r="CJ85">
        <f>CJ84-MIN(CJ84,CI85)</f>
        <v/>
      </c>
      <c r="CK85">
        <f>CI85-(CJ84-CJ85)</f>
        <v/>
      </c>
      <c r="CL85">
        <f>MAX(0,CK85*(1+$K$34)-$L$34)</f>
        <v/>
      </c>
      <c r="CM85">
        <f>CM84-MIN(CM84,CL85)</f>
        <v/>
      </c>
      <c r="CN85">
        <f>CL85-(CM84-CM85)</f>
        <v/>
      </c>
      <c r="CO85">
        <f>MAX(0,CN85*(1+$K$34)-$L$34)</f>
        <v/>
      </c>
      <c r="CP85">
        <f>CP84-MIN(CP84,CO85)</f>
        <v/>
      </c>
      <c r="CQ85">
        <f>CO85-(CP84-CP85)</f>
        <v/>
      </c>
      <c r="CR85">
        <f>MAX(0,CQ85*(1+$K$34)-$L$34)</f>
        <v/>
      </c>
      <c r="CS85">
        <f>CS84-MIN(CS84,CR85)</f>
        <v/>
      </c>
      <c r="CT85">
        <f>CR85-(CS84-CS85)</f>
        <v/>
      </c>
      <c r="CU85">
        <f>MAX(0,CT85*(1+$K$34)-$L$34)</f>
        <v/>
      </c>
      <c r="CV85">
        <f>CV84-MIN(CV84,CU85)</f>
        <v/>
      </c>
      <c r="CW85">
        <f>CU85-(CV84-CV85)</f>
        <v/>
      </c>
      <c r="CX85">
        <f>MAX(0,CW85*(1+$K$34)-$L$34)</f>
        <v/>
      </c>
      <c r="CY85">
        <f>CY84-MIN(CY84,CX85)</f>
        <v/>
      </c>
      <c r="CZ85">
        <f>CX85-(CY84-CY85)</f>
        <v/>
      </c>
      <c r="DA85">
        <f>MAX(0,CZ85*(1+$K$34)-$L$34)</f>
        <v/>
      </c>
      <c r="DB85">
        <f>DB84-MIN(DB84,DA85)</f>
        <v/>
      </c>
      <c r="DC85">
        <f>DA85-(DB84-DB85)</f>
        <v/>
      </c>
      <c r="DD85">
        <f>MAX(0,DC85*(1+$K$34)-$L$34)</f>
        <v/>
      </c>
      <c r="DE85">
        <f>DE84-MIN(DE84,DD85)</f>
        <v/>
      </c>
      <c r="DF85">
        <f>DD85-(DE84-DE85)</f>
        <v/>
      </c>
      <c r="DG85">
        <f>MAX(0,DF85*(1+$K$34)-$L$34)</f>
        <v/>
      </c>
      <c r="DH85">
        <f>DH84-MIN(DH84,DG85)</f>
        <v/>
      </c>
      <c r="DI85">
        <f>DG85-(DH84-DH85)</f>
        <v/>
      </c>
      <c r="DJ85">
        <f>MAX(0,DI85*(1+$K$34)-$L$34)</f>
        <v/>
      </c>
      <c r="DK85">
        <f>DK84-MIN(DK84,DJ85)</f>
        <v/>
      </c>
      <c r="DL85">
        <f>DJ85-(DK84-DK85)</f>
        <v/>
      </c>
      <c r="DM85">
        <f>MAX(0,DL85*(1+$K$34)-$L$34)</f>
        <v/>
      </c>
      <c r="DN85">
        <f>DN84-MIN(DN84,DM85)</f>
        <v/>
      </c>
      <c r="DO85">
        <f>DM85-(DN84-DN85)</f>
        <v/>
      </c>
      <c r="DP85">
        <f>MAX(0,DO85*(1+$K$34)-$L$34)</f>
        <v/>
      </c>
      <c r="DQ85">
        <f>DQ84-MIN(DQ84,DP85)</f>
        <v/>
      </c>
      <c r="DR85">
        <f>DP85-(DQ84-DQ85)</f>
        <v/>
      </c>
      <c r="DS85">
        <f>MAX(0,DR85*(1+$K$34)-$L$34)</f>
        <v/>
      </c>
      <c r="DT85">
        <f>DT84-MIN(DT84,DS85)</f>
        <v/>
      </c>
      <c r="DU85">
        <f>DS85-(DT84-DT85)</f>
        <v/>
      </c>
      <c r="DV85">
        <f>MAX(0,DU85*(1+$K$34)-$L$34)</f>
        <v/>
      </c>
      <c r="DW85">
        <f>DW84-MIN(DW84,DV85)</f>
        <v/>
      </c>
      <c r="DX85">
        <f>DV85-(DW84-DW85)</f>
        <v/>
      </c>
      <c r="DY85">
        <f>MAX(0,DX85*(1+$K$34)-$L$34)</f>
        <v/>
      </c>
      <c r="DZ85">
        <f>DZ84-MIN(DZ84,DY85)</f>
        <v/>
      </c>
      <c r="EA85">
        <f>DY85-(DZ84-DZ85)</f>
        <v/>
      </c>
      <c r="EB85">
        <f>MAX(0,EA85*(1+$K$34)-$L$34)</f>
        <v/>
      </c>
      <c r="EC85">
        <f>EC84-MIN(EC84,EB85)</f>
        <v/>
      </c>
      <c r="ED85">
        <f>EB85-(EC84-EC85)</f>
        <v/>
      </c>
      <c r="EE85">
        <f>MAX(0,ED85*(1+$K$34)-$L$34)</f>
        <v/>
      </c>
      <c r="EF85">
        <f>EF84-MIN(EF84,EE85)</f>
        <v/>
      </c>
      <c r="EG85">
        <f>EE85-(EF84-EF85)</f>
        <v/>
      </c>
      <c r="EH85">
        <f>MAX(0,EG85*(1+$K$34)-$L$34)</f>
        <v/>
      </c>
      <c r="EI85">
        <f>EI84-MIN(EI84,EH85)</f>
        <v/>
      </c>
      <c r="EJ85">
        <f>EH85-(EI84-EI85)</f>
        <v/>
      </c>
      <c r="EK85">
        <f>MAX(0,EJ85*(1+$K$34)-$L$34)</f>
        <v/>
      </c>
      <c r="EL85">
        <f>EL84-MIN(EL84,EK85)</f>
        <v/>
      </c>
      <c r="EM85">
        <f>EK85-(EL84-EL85)</f>
        <v/>
      </c>
      <c r="EN85">
        <f>MAX(0,EM85*(1+$K$34)-$L$34)</f>
        <v/>
      </c>
      <c r="EO85">
        <f>EO84-MIN(EO84,EN85)</f>
        <v/>
      </c>
      <c r="EP85">
        <f>EN85-(EO84-EO85)</f>
        <v/>
      </c>
      <c r="EQ85">
        <f>MAX(0,EP85*(1+$K$34)-$L$34)</f>
        <v/>
      </c>
      <c r="ER85">
        <f>ER84-MIN(ER84,EQ85)</f>
        <v/>
      </c>
      <c r="ES85">
        <f>EQ85-(ER84-ER85)</f>
        <v/>
      </c>
      <c r="ET85">
        <f>MAX(0,ES85*(1+$K$34)-$L$34)</f>
        <v/>
      </c>
      <c r="EU85">
        <f>EU84-MIN(EU84,ET85)</f>
        <v/>
      </c>
      <c r="EV85">
        <f>ET85-(EU84-EU85)</f>
        <v/>
      </c>
      <c r="EW85">
        <f>MAX(0,EV85*(1+$K$34)-$L$34)</f>
        <v/>
      </c>
      <c r="EX85">
        <f>EX84-MIN(EX84,EW85)</f>
        <v/>
      </c>
      <c r="EY85">
        <f>EW85-(EX84-EX85)</f>
        <v/>
      </c>
      <c r="EZ85">
        <f>MAX(0,EY85*(1+$K$34)-$L$34)</f>
        <v/>
      </c>
      <c r="FA85">
        <f>FA84-MIN(FA84,EZ85)</f>
        <v/>
      </c>
      <c r="FB85">
        <f>EZ85-(FA84-FA85)</f>
        <v/>
      </c>
      <c r="FC85">
        <f>MAX(0,FB85*(1+$K$34)-$L$34)</f>
        <v/>
      </c>
      <c r="FD85">
        <f>FD84-MIN(FD84,FC85)</f>
        <v/>
      </c>
      <c r="FE85">
        <f>FC85-(FD84-FD85)</f>
        <v/>
      </c>
      <c r="FF85">
        <f>MAX(0,FE85*(1+$K$34)-$L$34)</f>
        <v/>
      </c>
      <c r="FG85">
        <f>FG84-MIN(FG84,FF85)</f>
        <v/>
      </c>
      <c r="FH85">
        <f>FF85-(FG84-FG85)</f>
        <v/>
      </c>
      <c r="FI85">
        <f>MAX(0,FH85*(1+$K$34)-$L$34)</f>
        <v/>
      </c>
      <c r="FJ85">
        <f>FJ84-MIN(FJ84,FI85)</f>
        <v/>
      </c>
      <c r="FK85">
        <f>FI85-(FJ84-FJ85)</f>
        <v/>
      </c>
      <c r="FL85">
        <f>MAX(0,FK85*(1+$K$34)-$L$34)</f>
        <v/>
      </c>
      <c r="FM85">
        <f>FM84-MIN(FM84,FL85)</f>
        <v/>
      </c>
      <c r="FN85">
        <f>FL85-(FM84-FM85)</f>
        <v/>
      </c>
      <c r="FO85">
        <f>MAX(0,FN85*(1+$K$34)-$L$34)</f>
        <v/>
      </c>
      <c r="FP85">
        <f>FP84-MIN(FP84,FO85)</f>
        <v/>
      </c>
      <c r="FQ85">
        <f>FO85-(FP84-FP85)</f>
        <v/>
      </c>
      <c r="FR85">
        <f>MAX(0,FQ85*(1+$K$34)-$L$34)</f>
        <v/>
      </c>
      <c r="FS85">
        <f>FS84-MIN(FS84,FR85)</f>
        <v/>
      </c>
      <c r="FT85">
        <f>FR85-(FS84-FS85)</f>
        <v/>
      </c>
      <c r="FU85">
        <f>MAX(0,FT85*(1+$K$34)-$L$34)</f>
        <v/>
      </c>
      <c r="FV85">
        <f>FV84-MIN(FV84,FU85)</f>
        <v/>
      </c>
      <c r="FW85">
        <f>FU85-(FV84-FV85)</f>
        <v/>
      </c>
      <c r="FX85">
        <f>MAX(0,FW85*(1+$K$34)-$L$34)</f>
        <v/>
      </c>
      <c r="FY85">
        <f>FY84-MIN(FY84,FX85)</f>
        <v/>
      </c>
      <c r="FZ85">
        <f>FX85-(FY84-FY85)</f>
        <v/>
      </c>
      <c r="GA85">
        <f>MAX(0,FZ85*(1+$K$34)-$L$34)</f>
        <v/>
      </c>
      <c r="GB85">
        <f>GB84-MIN(GB84,GA85)</f>
        <v/>
      </c>
      <c r="GC85">
        <f>GA85-(GB84-GB85)</f>
        <v/>
      </c>
      <c r="GD85">
        <f>MAX(0,GC85*(1+$K$34)-$L$34)</f>
        <v/>
      </c>
      <c r="GE85">
        <f>GE84-MIN(GE84,GD85)</f>
        <v/>
      </c>
      <c r="GF85">
        <f>GD85-(GE84-GE85)</f>
        <v/>
      </c>
      <c r="GG85">
        <f>MAX(0,GF85*(1+$K$34)-$L$34)</f>
        <v/>
      </c>
      <c r="GH85">
        <f>GH84-MIN(GH84,GG85)</f>
        <v/>
      </c>
      <c r="GI85">
        <f>GG85-(GH84-GH85)</f>
        <v/>
      </c>
      <c r="GJ85">
        <f>MAX(0,GI85*(1+$K$34)-$L$34)</f>
        <v/>
      </c>
      <c r="GK85">
        <f>GK84-MIN(GK84,GJ85)</f>
        <v/>
      </c>
      <c r="GL85">
        <f>GJ85-(GK84-GK85)</f>
        <v/>
      </c>
      <c r="GM85">
        <f>MAX(0,GL85*(1+$K$34)-$L$34)</f>
        <v/>
      </c>
      <c r="GN85">
        <f>GN84-MIN(GN84,GM85)</f>
        <v/>
      </c>
      <c r="GO85">
        <f>GM85-(GN84-GN85)</f>
        <v/>
      </c>
      <c r="GP85">
        <f>MAX(0,GO85*(1+$K$34)-$L$34)</f>
        <v/>
      </c>
      <c r="GQ85">
        <f>GQ84-MIN(GQ84,GP85)</f>
        <v/>
      </c>
      <c r="GR85">
        <f>GP85-(GQ84-GQ85)</f>
        <v/>
      </c>
      <c r="GS85">
        <f>MAX(0,GR85*(1+$K$34)-$L$34)</f>
        <v/>
      </c>
      <c r="GT85">
        <f>GT84-MIN(GT84,GS85)</f>
        <v/>
      </c>
      <c r="GU85">
        <f>GS85-(GT84-GT85)</f>
        <v/>
      </c>
      <c r="GV85">
        <f>MAX(0,GU85*(1+$K$34)-$L$34)</f>
        <v/>
      </c>
      <c r="GW85">
        <f>GW84-MIN(GW84,GV85)</f>
        <v/>
      </c>
      <c r="GX85">
        <f>GV85-(GW84-GW85)</f>
        <v/>
      </c>
      <c r="GY85">
        <f>MAX(0,GX85*(1+$K$34)-$L$34)</f>
        <v/>
      </c>
      <c r="GZ85">
        <f>GZ84-MIN(GZ84,GY85)</f>
        <v/>
      </c>
      <c r="HA85">
        <f>GY85-(GZ84-GZ85)</f>
        <v/>
      </c>
      <c r="HB85">
        <f>MAX(0,HA85*(1+$K$34)-$L$34)</f>
        <v/>
      </c>
      <c r="HC85">
        <f>HC84-MIN(HC84,HB85)</f>
        <v/>
      </c>
      <c r="HD85">
        <f>HB85-(HC84-HC85)</f>
        <v/>
      </c>
      <c r="HE85">
        <f>MAX(0,HD85*(1+$K$34)-$L$34)</f>
        <v/>
      </c>
      <c r="HF85">
        <f>HF84-MIN(HF84,HE85)</f>
        <v/>
      </c>
      <c r="HG85">
        <f>HE85-(HF84-HF85)</f>
        <v/>
      </c>
      <c r="HH85">
        <f>MAX(0,HG85*(1+$K$34)-$L$34)</f>
        <v/>
      </c>
      <c r="HI85">
        <f>HI84-MIN(HI84,HH85)</f>
        <v/>
      </c>
      <c r="HJ85">
        <f>HH85-(HI84-HI85)</f>
        <v/>
      </c>
      <c r="HK85">
        <f>MAX(0,HJ85*(1+$K$34)-$L$34)</f>
        <v/>
      </c>
      <c r="HL85">
        <f>HL84-MIN(HL84,HK85)</f>
        <v/>
      </c>
      <c r="HM85">
        <f>HK85-(HL84-HL85)</f>
        <v/>
      </c>
      <c r="HN85">
        <f>MAX(0,HM85*(1+$K$34)-$L$34)</f>
        <v/>
      </c>
      <c r="HO85">
        <f>HO84-MIN(HO84,HN85)</f>
        <v/>
      </c>
      <c r="HP85">
        <f>HN85-(HO84-HO85)</f>
        <v/>
      </c>
      <c r="HQ85">
        <f>MAX(0,HP85*(1+$K$34)-$L$34)</f>
        <v/>
      </c>
      <c r="HR85">
        <f>HR84-MIN(HR84,HQ85)</f>
        <v/>
      </c>
      <c r="HS85">
        <f>HQ85-(HR84-HR85)</f>
        <v/>
      </c>
      <c r="HT85">
        <f>MAX(0,HS85*(1+$K$34)-$L$34)</f>
        <v/>
      </c>
      <c r="HU85">
        <f>HU84-MIN(HU84,HT85)</f>
        <v/>
      </c>
      <c r="HV85">
        <f>HT85-(HU84-HU85)</f>
        <v/>
      </c>
      <c r="HW85">
        <f>MAX(0,HV85*(1+$K$34)-$L$34)</f>
        <v/>
      </c>
      <c r="HX85">
        <f>HX84-MIN(HX84,HW85)</f>
        <v/>
      </c>
      <c r="HY85">
        <f>HW85-(HX84-HX85)</f>
        <v/>
      </c>
      <c r="HZ85">
        <f>MAX(0,HY85*(1+$K$34)-$L$34)</f>
        <v/>
      </c>
      <c r="IA85">
        <f>IA84-MIN(IA84,HZ85)</f>
        <v/>
      </c>
      <c r="IB85">
        <f>HZ85-(IA84-IA85)</f>
        <v/>
      </c>
      <c r="IC85">
        <f>MAX(0,IB85*(1+$K$34)-$L$34)</f>
        <v/>
      </c>
      <c r="ID85">
        <f>ID84-MIN(ID84,IC85)</f>
        <v/>
      </c>
      <c r="IE85">
        <f>IC85-(ID84-ID85)</f>
        <v/>
      </c>
      <c r="IF85">
        <f>MAX(0,IE85*(1+$K$34)-$L$34)</f>
        <v/>
      </c>
      <c r="IG85">
        <f>IG84-MIN(IG84,IF85)</f>
        <v/>
      </c>
      <c r="IH85">
        <f>IF85-(IG84-IG85)</f>
        <v/>
      </c>
      <c r="II85">
        <f>MAX(0,IH85*(1+$K$34)-$L$34)</f>
        <v/>
      </c>
      <c r="IJ85">
        <f>IJ84-MIN(IJ84,II85)</f>
        <v/>
      </c>
      <c r="IK85">
        <f>II85-(IJ84-IJ85)</f>
        <v/>
      </c>
      <c r="IL85">
        <f>MAX(0,IK85*(1+$K$34)-$L$34)</f>
        <v/>
      </c>
      <c r="IM85">
        <f>IM84-MIN(IM84,IL85)</f>
        <v/>
      </c>
      <c r="IN85">
        <f>IL85-(IM84-IM85)</f>
        <v/>
      </c>
      <c r="IO85">
        <f>MAX(0,IN85*(1+$K$34)-$L$34)</f>
        <v/>
      </c>
      <c r="IP85">
        <f>IP84-MIN(IP84,IO85)</f>
        <v/>
      </c>
      <c r="IQ85">
        <f>IO85-(IP84-IP85)</f>
        <v/>
      </c>
      <c r="IR85">
        <f>MAX(0,IQ85*(1+$K$34)-$L$34)</f>
        <v/>
      </c>
      <c r="IS85">
        <f>IS84-MIN(IS84,IR85)</f>
        <v/>
      </c>
      <c r="IT85">
        <f>IR85-(IS84-IS85)</f>
        <v/>
      </c>
      <c r="IU85">
        <f>MAX(0,IT85*(1+$K$34)-$L$34)</f>
        <v/>
      </c>
      <c r="IV85">
        <f>IV84-MIN(IV84,IU85)</f>
        <v/>
      </c>
      <c r="IW85">
        <f>IU85-(IV84-IV85)</f>
        <v/>
      </c>
      <c r="IX85">
        <f>MAX(0,IW85*(1+$K$34)-$L$34)</f>
        <v/>
      </c>
      <c r="IY85">
        <f>IY84-MIN(IY84,IX85)</f>
        <v/>
      </c>
      <c r="IZ85">
        <f>IX85-(IY84-IY85)</f>
        <v/>
      </c>
      <c r="JA85">
        <f>MAX(0,IZ85*(1+$K$34)-$L$34)</f>
        <v/>
      </c>
      <c r="JB85">
        <f>JB84-MIN(JB84,JA85)</f>
        <v/>
      </c>
      <c r="JC85">
        <f>JA85-(JB84-JB85)</f>
        <v/>
      </c>
      <c r="JD85">
        <f>MAX(0,JC85*(1+$K$34)-$L$34)</f>
        <v/>
      </c>
      <c r="JE85">
        <f>JE84-MIN(JE84,JD85)</f>
        <v/>
      </c>
      <c r="JF85">
        <f>JD85-(JE84-JE85)</f>
        <v/>
      </c>
      <c r="JG85">
        <f>MAX(0,JF85*(1+$K$34)-$L$34)</f>
        <v/>
      </c>
      <c r="JH85">
        <f>JH84-MIN(JH84,JG85)</f>
        <v/>
      </c>
      <c r="JI85">
        <f>JG85-(JH84-JH85)</f>
        <v/>
      </c>
      <c r="JJ85">
        <f>MAX(0,JI85*(1+$K$34)-$L$34)</f>
        <v/>
      </c>
      <c r="JK85">
        <f>JK84-MIN(JK84,JJ85)</f>
        <v/>
      </c>
      <c r="JL85">
        <f>JJ85-(JK84-JK85)</f>
        <v/>
      </c>
      <c r="JM85">
        <f>MAX(0,JL85*(1+$K$34)-$L$34)</f>
        <v/>
      </c>
      <c r="JN85">
        <f>JN84-MIN(JN84,JM85)</f>
        <v/>
      </c>
      <c r="JO85">
        <f>JM85-(JN84-JN85)</f>
        <v/>
      </c>
      <c r="JP85">
        <f>MAX(0,JO85*(1+$K$34)-$L$34)</f>
        <v/>
      </c>
      <c r="JQ85">
        <f>JQ84-MIN(JQ84,JP85)</f>
        <v/>
      </c>
      <c r="JR85">
        <f>JP85-(JQ84-JQ85)</f>
        <v/>
      </c>
      <c r="JS85">
        <f>MAX(0,JR85*(1+$K$34)-$L$34)</f>
        <v/>
      </c>
      <c r="JT85">
        <f>JT84-MIN(JT84,JS85)</f>
        <v/>
      </c>
      <c r="JU85">
        <f>JS85-(JT84-JT85)</f>
        <v/>
      </c>
      <c r="JV85">
        <f>MAX(0,JU85*(1+$K$34)-$L$34)</f>
        <v/>
      </c>
      <c r="JW85">
        <f>JW84-MIN(JW84,JV85)</f>
        <v/>
      </c>
      <c r="JX85">
        <f>JV85-(JW84-JW85)</f>
        <v/>
      </c>
      <c r="JY85">
        <f>MAX(0,JX85*(1+$K$34)-$L$34)</f>
        <v/>
      </c>
      <c r="JZ85">
        <f>JZ84-MIN(JZ84,JY85)</f>
        <v/>
      </c>
      <c r="KA85">
        <f>JY85-(JZ84-JZ85)</f>
        <v/>
      </c>
      <c r="KB85">
        <f>MAX(0,KA85*(1+$K$34)-$L$34)</f>
        <v/>
      </c>
      <c r="KC85">
        <f>KC84-MIN(KC84,KB85)</f>
        <v/>
      </c>
      <c r="KD85">
        <f>KB85-(KC84-KC85)</f>
        <v/>
      </c>
      <c r="KE85">
        <f>MAX(0,KD85*(1+$K$34)-$L$34)</f>
        <v/>
      </c>
      <c r="KF85">
        <f>KF84-MIN(KF84,KE85)</f>
        <v/>
      </c>
      <c r="KG85">
        <f>KE85-(KF84-KF85)</f>
        <v/>
      </c>
      <c r="KH85">
        <f>MAX(0,KG85*(1+$K$34)-$L$34)</f>
        <v/>
      </c>
      <c r="KI85">
        <f>KI84-MIN(KI84,KH85)</f>
        <v/>
      </c>
      <c r="KJ85">
        <f>KH85-(KI84-KI85)</f>
        <v/>
      </c>
      <c r="KK85">
        <f>MAX(0,KJ85*(1+$K$34)-$L$34)</f>
        <v/>
      </c>
      <c r="KL85">
        <f>KL84-MIN(KL84,KK85)</f>
        <v/>
      </c>
      <c r="KM85">
        <f>KK85-(KL84-KL85)</f>
        <v/>
      </c>
      <c r="KN85">
        <f>MAX(0,KM85*(1+$K$34)-$L$34)</f>
        <v/>
      </c>
      <c r="KO85">
        <f>KO84-MIN(KO84,KN85)</f>
        <v/>
      </c>
      <c r="KP85">
        <f>KN85-(KO84-KO85)</f>
        <v/>
      </c>
      <c r="KQ85">
        <f>MAX(0,KP85*(1+$K$34)-$L$34)</f>
        <v/>
      </c>
      <c r="KR85">
        <f>KR84-MIN(KR84,KQ85)</f>
        <v/>
      </c>
      <c r="KS85">
        <f>KQ85-(KR84-KR85)</f>
        <v/>
      </c>
      <c r="KT85">
        <f>MAX(0,KS85*(1+$K$34)-$L$34)</f>
        <v/>
      </c>
      <c r="KU85">
        <f>KU84-MIN(KU84,KT85)</f>
        <v/>
      </c>
      <c r="KV85">
        <f>KT85-(KU84-KU85)</f>
        <v/>
      </c>
      <c r="KW85">
        <f>MAX(0,KV85*(1+$K$34)-$L$34)</f>
        <v/>
      </c>
      <c r="KX85">
        <f>KX84-MIN(KX84,KW85)</f>
        <v/>
      </c>
      <c r="KY85">
        <f>KW85-(KX84-KX85)</f>
        <v/>
      </c>
      <c r="KZ85">
        <f>MAX(0,KY85*(1+$K$34)-$L$34)</f>
        <v/>
      </c>
      <c r="LA85">
        <f>LA84-MIN(LA84,KZ85)</f>
        <v/>
      </c>
      <c r="LB85">
        <f>KZ85-(LA84-LA85)</f>
        <v/>
      </c>
      <c r="LC85">
        <f>MAX(0,LB85*(1+$K$34)-$L$34)</f>
        <v/>
      </c>
      <c r="LD85">
        <f>LD84-MIN(LD84,LC85)</f>
        <v/>
      </c>
      <c r="LE85">
        <f>LC85-(LD84-LD85)</f>
        <v/>
      </c>
      <c r="LF85">
        <f>MAX(0,LE85*(1+$K$34)-$L$34)</f>
        <v/>
      </c>
      <c r="LG85">
        <f>LG84-MIN(LG84,LF85)</f>
        <v/>
      </c>
      <c r="LH85">
        <f>LF85-(LG84-LG85)</f>
        <v/>
      </c>
      <c r="LI85">
        <f>MAX(0,LH85*(1+$K$34)-$L$34)</f>
        <v/>
      </c>
      <c r="LJ85">
        <f>LJ84-MIN(LJ84,LI85)</f>
        <v/>
      </c>
      <c r="LK85">
        <f>LI85-(LJ84-LJ85)</f>
        <v/>
      </c>
      <c r="LL85">
        <f>MAX(0,LK85*(1+$K$34)-$L$34)</f>
        <v/>
      </c>
      <c r="LM85">
        <f>LM84-MIN(LM84,LL85)</f>
        <v/>
      </c>
      <c r="LN85">
        <f>LL85-(LM84-LM85)</f>
        <v/>
      </c>
      <c r="LO85">
        <f>MAX(0,LN85*(1+$K$34)-$L$34)</f>
        <v/>
      </c>
      <c r="LP85">
        <f>LP84-MIN(LP84,LO85)</f>
        <v/>
      </c>
      <c r="LQ85">
        <f>LO85-(LP84-LP85)</f>
        <v/>
      </c>
      <c r="LR85">
        <f>MAX(0,LQ85*(1+$K$34)-$L$34)</f>
        <v/>
      </c>
      <c r="LS85">
        <f>LS84-MIN(LS84,LR85)</f>
        <v/>
      </c>
      <c r="LT85">
        <f>LR85-(LS84-LS85)</f>
        <v/>
      </c>
      <c r="LU85">
        <f>MAX(0,LT85*(1+$K$34)-$L$34)</f>
        <v/>
      </c>
      <c r="LV85">
        <f>LV84-MIN(LV84,LU85)</f>
        <v/>
      </c>
      <c r="LW85">
        <f>LU85-(LV84-LV85)</f>
        <v/>
      </c>
      <c r="LX85">
        <f>MAX(0,LW85*(1+$K$34)-$L$34)</f>
        <v/>
      </c>
      <c r="LY85">
        <f>LY84-MIN(LY84,LX85)</f>
        <v/>
      </c>
      <c r="LZ85">
        <f>LX85-(LY84-LY85)</f>
        <v/>
      </c>
      <c r="MA85">
        <f>MAX(0,LZ85*(1+$K$34)-$L$34)</f>
        <v/>
      </c>
      <c r="MB85">
        <f>MB84-MIN(MB84,MA85)</f>
        <v/>
      </c>
      <c r="MC85">
        <f>MA85-(MB84-MB85)</f>
        <v/>
      </c>
      <c r="MD85">
        <f>MAX(0,MC85*(1+$K$34)-$L$34)</f>
        <v/>
      </c>
      <c r="ME85">
        <f>ME84-MIN(ME84,MD85)</f>
        <v/>
      </c>
      <c r="MF85">
        <f>MD85-(ME84-ME85)</f>
        <v/>
      </c>
      <c r="MG85">
        <f>MAX(0,MF85*(1+$K$34)-$L$34)</f>
        <v/>
      </c>
      <c r="MH85">
        <f>MH84-MIN(MH84,MG85)</f>
        <v/>
      </c>
      <c r="MI85">
        <f>MG85-(MH84-MH85)</f>
        <v/>
      </c>
      <c r="MJ85">
        <f>MAX(0,MI85*(1+$K$34)-$L$34)</f>
        <v/>
      </c>
      <c r="MK85">
        <f>MK84-MIN(MK84,MJ85)</f>
        <v/>
      </c>
      <c r="ML85">
        <f>MJ85-(MK84-MK85)</f>
        <v/>
      </c>
      <c r="MM85">
        <f>MAX(0,ML85*(1+$K$34)-$L$34)</f>
        <v/>
      </c>
      <c r="MN85">
        <f>MN84-MIN(MN84,MM85)</f>
        <v/>
      </c>
      <c r="MO85">
        <f>MM85-(MN84-MN85)</f>
        <v/>
      </c>
      <c r="MP85">
        <f>MAX(0,MO85*(1+$K$34)-$L$34)</f>
        <v/>
      </c>
      <c r="MQ85">
        <f>MQ84-MIN(MQ84,MP85)</f>
        <v/>
      </c>
      <c r="MR85">
        <f>MP85-(MQ84-MQ85)</f>
        <v/>
      </c>
      <c r="MS85">
        <f>MAX(0,MR85*(1+$K$34)-$L$34)</f>
        <v/>
      </c>
      <c r="MT85">
        <f>MT84-MIN(MT84,MS85)</f>
        <v/>
      </c>
      <c r="MU85">
        <f>MS85-(MT84-MT85)</f>
        <v/>
      </c>
      <c r="MV85">
        <f>MAX(0,MU85*(1+$K$34)-$L$34)</f>
        <v/>
      </c>
      <c r="MW85">
        <f>MW84-MIN(MW84,MV85)</f>
        <v/>
      </c>
      <c r="MX85">
        <f>MV85-(MW84-MW85)</f>
        <v/>
      </c>
    </row>
    <row r="86">
      <c r="A86" t="inlineStr">
        <is>
          <t>slot 12</t>
        </is>
      </c>
      <c r="B86">
        <f>J35</f>
        <v/>
      </c>
      <c r="C86">
        <f>MAX(0,B86*(1+$K$35)-$L$35)</f>
        <v/>
      </c>
      <c r="D86">
        <f>D85-MIN(D85,C86)</f>
        <v/>
      </c>
      <c r="E86">
        <f>C86-(D85-D86)</f>
        <v/>
      </c>
      <c r="F86">
        <f>MAX(0,E86*(1+$K$35)-$L$35)</f>
        <v/>
      </c>
      <c r="G86">
        <f>G85-MIN(G85,F86)</f>
        <v/>
      </c>
      <c r="H86">
        <f>F86-(G85-G86)</f>
        <v/>
      </c>
      <c r="I86">
        <f>MAX(0,H86*(1+$K$35)-$L$35)</f>
        <v/>
      </c>
      <c r="J86">
        <f>J85-MIN(J85,I86)</f>
        <v/>
      </c>
      <c r="K86">
        <f>I86-(J85-J86)</f>
        <v/>
      </c>
      <c r="L86">
        <f>MAX(0,K86*(1+$K$35)-$L$35)</f>
        <v/>
      </c>
      <c r="M86">
        <f>M85-MIN(M85,L86)</f>
        <v/>
      </c>
      <c r="N86">
        <f>L86-(M85-M86)</f>
        <v/>
      </c>
      <c r="O86">
        <f>MAX(0,N86*(1+$K$35)-$L$35)</f>
        <v/>
      </c>
      <c r="P86">
        <f>P85-MIN(P85,O86)</f>
        <v/>
      </c>
      <c r="Q86">
        <f>O86-(P85-P86)</f>
        <v/>
      </c>
      <c r="R86">
        <f>MAX(0,Q86*(1+$K$35)-$L$35)</f>
        <v/>
      </c>
      <c r="S86">
        <f>S85-MIN(S85,R86)</f>
        <v/>
      </c>
      <c r="T86">
        <f>R86-(S85-S86)</f>
        <v/>
      </c>
      <c r="U86">
        <f>MAX(0,T86*(1+$K$35)-$L$35)</f>
        <v/>
      </c>
      <c r="V86">
        <f>V85-MIN(V85,U86)</f>
        <v/>
      </c>
      <c r="W86">
        <f>U86-(V85-V86)</f>
        <v/>
      </c>
      <c r="X86">
        <f>MAX(0,W86*(1+$K$35)-$L$35)</f>
        <v/>
      </c>
      <c r="Y86">
        <f>Y85-MIN(Y85,X86)</f>
        <v/>
      </c>
      <c r="Z86">
        <f>X86-(Y85-Y86)</f>
        <v/>
      </c>
      <c r="AA86">
        <f>MAX(0,Z86*(1+$K$35)-$L$35)</f>
        <v/>
      </c>
      <c r="AB86">
        <f>AB85-MIN(AB85,AA86)</f>
        <v/>
      </c>
      <c r="AC86">
        <f>AA86-(AB85-AB86)</f>
        <v/>
      </c>
      <c r="AD86">
        <f>MAX(0,AC86*(1+$K$35)-$L$35)</f>
        <v/>
      </c>
      <c r="AE86">
        <f>AE85-MIN(AE85,AD86)</f>
        <v/>
      </c>
      <c r="AF86">
        <f>AD86-(AE85-AE86)</f>
        <v/>
      </c>
      <c r="AG86">
        <f>MAX(0,AF86*(1+$K$35)-$L$35)</f>
        <v/>
      </c>
      <c r="AH86">
        <f>AH85-MIN(AH85,AG86)</f>
        <v/>
      </c>
      <c r="AI86">
        <f>AG86-(AH85-AH86)</f>
        <v/>
      </c>
      <c r="AJ86">
        <f>MAX(0,AI86*(1+$K$35)-$L$35)</f>
        <v/>
      </c>
      <c r="AK86">
        <f>AK85-MIN(AK85,AJ86)</f>
        <v/>
      </c>
      <c r="AL86">
        <f>AJ86-(AK85-AK86)</f>
        <v/>
      </c>
      <c r="AM86">
        <f>MAX(0,AL86*(1+$K$35)-$L$35)</f>
        <v/>
      </c>
      <c r="AN86">
        <f>AN85-MIN(AN85,AM86)</f>
        <v/>
      </c>
      <c r="AO86">
        <f>AM86-(AN85-AN86)</f>
        <v/>
      </c>
      <c r="AP86">
        <f>MAX(0,AO86*(1+$K$35)-$L$35)</f>
        <v/>
      </c>
      <c r="AQ86">
        <f>AQ85-MIN(AQ85,AP86)</f>
        <v/>
      </c>
      <c r="AR86">
        <f>AP86-(AQ85-AQ86)</f>
        <v/>
      </c>
      <c r="AS86">
        <f>MAX(0,AR86*(1+$K$35)-$L$35)</f>
        <v/>
      </c>
      <c r="AT86">
        <f>AT85-MIN(AT85,AS86)</f>
        <v/>
      </c>
      <c r="AU86">
        <f>AS86-(AT85-AT86)</f>
        <v/>
      </c>
      <c r="AV86">
        <f>MAX(0,AU86*(1+$K$35)-$L$35)</f>
        <v/>
      </c>
      <c r="AW86">
        <f>AW85-MIN(AW85,AV86)</f>
        <v/>
      </c>
      <c r="AX86">
        <f>AV86-(AW85-AW86)</f>
        <v/>
      </c>
      <c r="AY86">
        <f>MAX(0,AX86*(1+$K$35)-$L$35)</f>
        <v/>
      </c>
      <c r="AZ86">
        <f>AZ85-MIN(AZ85,AY86)</f>
        <v/>
      </c>
      <c r="BA86">
        <f>AY86-(AZ85-AZ86)</f>
        <v/>
      </c>
      <c r="BB86">
        <f>MAX(0,BA86*(1+$K$35)-$L$35)</f>
        <v/>
      </c>
      <c r="BC86">
        <f>BC85-MIN(BC85,BB86)</f>
        <v/>
      </c>
      <c r="BD86">
        <f>BB86-(BC85-BC86)</f>
        <v/>
      </c>
      <c r="BE86">
        <f>MAX(0,BD86*(1+$K$35)-$L$35)</f>
        <v/>
      </c>
      <c r="BF86">
        <f>BF85-MIN(BF85,BE86)</f>
        <v/>
      </c>
      <c r="BG86">
        <f>BE86-(BF85-BF86)</f>
        <v/>
      </c>
      <c r="BH86">
        <f>MAX(0,BG86*(1+$K$35)-$L$35)</f>
        <v/>
      </c>
      <c r="BI86">
        <f>BI85-MIN(BI85,BH86)</f>
        <v/>
      </c>
      <c r="BJ86">
        <f>BH86-(BI85-BI86)</f>
        <v/>
      </c>
      <c r="BK86">
        <f>MAX(0,BJ86*(1+$K$35)-$L$35)</f>
        <v/>
      </c>
      <c r="BL86">
        <f>BL85-MIN(BL85,BK86)</f>
        <v/>
      </c>
      <c r="BM86">
        <f>BK86-(BL85-BL86)</f>
        <v/>
      </c>
      <c r="BN86">
        <f>MAX(0,BM86*(1+$K$35)-$L$35)</f>
        <v/>
      </c>
      <c r="BO86">
        <f>BO85-MIN(BO85,BN86)</f>
        <v/>
      </c>
      <c r="BP86">
        <f>BN86-(BO85-BO86)</f>
        <v/>
      </c>
      <c r="BQ86">
        <f>MAX(0,BP86*(1+$K$35)-$L$35)</f>
        <v/>
      </c>
      <c r="BR86">
        <f>BR85-MIN(BR85,BQ86)</f>
        <v/>
      </c>
      <c r="BS86">
        <f>BQ86-(BR85-BR86)</f>
        <v/>
      </c>
      <c r="BT86">
        <f>MAX(0,BS86*(1+$K$35)-$L$35)</f>
        <v/>
      </c>
      <c r="BU86">
        <f>BU85-MIN(BU85,BT86)</f>
        <v/>
      </c>
      <c r="BV86">
        <f>BT86-(BU85-BU86)</f>
        <v/>
      </c>
      <c r="BW86">
        <f>MAX(0,BV86*(1+$K$35)-$L$35)</f>
        <v/>
      </c>
      <c r="BX86">
        <f>BX85-MIN(BX85,BW86)</f>
        <v/>
      </c>
      <c r="BY86">
        <f>BW86-(BX85-BX86)</f>
        <v/>
      </c>
      <c r="BZ86">
        <f>MAX(0,BY86*(1+$K$35)-$L$35)</f>
        <v/>
      </c>
      <c r="CA86">
        <f>CA85-MIN(CA85,BZ86)</f>
        <v/>
      </c>
      <c r="CB86">
        <f>BZ86-(CA85-CA86)</f>
        <v/>
      </c>
      <c r="CC86">
        <f>MAX(0,CB86*(1+$K$35)-$L$35)</f>
        <v/>
      </c>
      <c r="CD86">
        <f>CD85-MIN(CD85,CC86)</f>
        <v/>
      </c>
      <c r="CE86">
        <f>CC86-(CD85-CD86)</f>
        <v/>
      </c>
      <c r="CF86">
        <f>MAX(0,CE86*(1+$K$35)-$L$35)</f>
        <v/>
      </c>
      <c r="CG86">
        <f>CG85-MIN(CG85,CF86)</f>
        <v/>
      </c>
      <c r="CH86">
        <f>CF86-(CG85-CG86)</f>
        <v/>
      </c>
      <c r="CI86">
        <f>MAX(0,CH86*(1+$K$35)-$L$35)</f>
        <v/>
      </c>
      <c r="CJ86">
        <f>CJ85-MIN(CJ85,CI86)</f>
        <v/>
      </c>
      <c r="CK86">
        <f>CI86-(CJ85-CJ86)</f>
        <v/>
      </c>
      <c r="CL86">
        <f>MAX(0,CK86*(1+$K$35)-$L$35)</f>
        <v/>
      </c>
      <c r="CM86">
        <f>CM85-MIN(CM85,CL86)</f>
        <v/>
      </c>
      <c r="CN86">
        <f>CL86-(CM85-CM86)</f>
        <v/>
      </c>
      <c r="CO86">
        <f>MAX(0,CN86*(1+$K$35)-$L$35)</f>
        <v/>
      </c>
      <c r="CP86">
        <f>CP85-MIN(CP85,CO86)</f>
        <v/>
      </c>
      <c r="CQ86">
        <f>CO86-(CP85-CP86)</f>
        <v/>
      </c>
      <c r="CR86">
        <f>MAX(0,CQ86*(1+$K$35)-$L$35)</f>
        <v/>
      </c>
      <c r="CS86">
        <f>CS85-MIN(CS85,CR86)</f>
        <v/>
      </c>
      <c r="CT86">
        <f>CR86-(CS85-CS86)</f>
        <v/>
      </c>
      <c r="CU86">
        <f>MAX(0,CT86*(1+$K$35)-$L$35)</f>
        <v/>
      </c>
      <c r="CV86">
        <f>CV85-MIN(CV85,CU86)</f>
        <v/>
      </c>
      <c r="CW86">
        <f>CU86-(CV85-CV86)</f>
        <v/>
      </c>
      <c r="CX86">
        <f>MAX(0,CW86*(1+$K$35)-$L$35)</f>
        <v/>
      </c>
      <c r="CY86">
        <f>CY85-MIN(CY85,CX86)</f>
        <v/>
      </c>
      <c r="CZ86">
        <f>CX86-(CY85-CY86)</f>
        <v/>
      </c>
      <c r="DA86">
        <f>MAX(0,CZ86*(1+$K$35)-$L$35)</f>
        <v/>
      </c>
      <c r="DB86">
        <f>DB85-MIN(DB85,DA86)</f>
        <v/>
      </c>
      <c r="DC86">
        <f>DA86-(DB85-DB86)</f>
        <v/>
      </c>
      <c r="DD86">
        <f>MAX(0,DC86*(1+$K$35)-$L$35)</f>
        <v/>
      </c>
      <c r="DE86">
        <f>DE85-MIN(DE85,DD86)</f>
        <v/>
      </c>
      <c r="DF86">
        <f>DD86-(DE85-DE86)</f>
        <v/>
      </c>
      <c r="DG86">
        <f>MAX(0,DF86*(1+$K$35)-$L$35)</f>
        <v/>
      </c>
      <c r="DH86">
        <f>DH85-MIN(DH85,DG86)</f>
        <v/>
      </c>
      <c r="DI86">
        <f>DG86-(DH85-DH86)</f>
        <v/>
      </c>
      <c r="DJ86">
        <f>MAX(0,DI86*(1+$K$35)-$L$35)</f>
        <v/>
      </c>
      <c r="DK86">
        <f>DK85-MIN(DK85,DJ86)</f>
        <v/>
      </c>
      <c r="DL86">
        <f>DJ86-(DK85-DK86)</f>
        <v/>
      </c>
      <c r="DM86">
        <f>MAX(0,DL86*(1+$K$35)-$L$35)</f>
        <v/>
      </c>
      <c r="DN86">
        <f>DN85-MIN(DN85,DM86)</f>
        <v/>
      </c>
      <c r="DO86">
        <f>DM86-(DN85-DN86)</f>
        <v/>
      </c>
      <c r="DP86">
        <f>MAX(0,DO86*(1+$K$35)-$L$35)</f>
        <v/>
      </c>
      <c r="DQ86">
        <f>DQ85-MIN(DQ85,DP86)</f>
        <v/>
      </c>
      <c r="DR86">
        <f>DP86-(DQ85-DQ86)</f>
        <v/>
      </c>
      <c r="DS86">
        <f>MAX(0,DR86*(1+$K$35)-$L$35)</f>
        <v/>
      </c>
      <c r="DT86">
        <f>DT85-MIN(DT85,DS86)</f>
        <v/>
      </c>
      <c r="DU86">
        <f>DS86-(DT85-DT86)</f>
        <v/>
      </c>
      <c r="DV86">
        <f>MAX(0,DU86*(1+$K$35)-$L$35)</f>
        <v/>
      </c>
      <c r="DW86">
        <f>DW85-MIN(DW85,DV86)</f>
        <v/>
      </c>
      <c r="DX86">
        <f>DV86-(DW85-DW86)</f>
        <v/>
      </c>
      <c r="DY86">
        <f>MAX(0,DX86*(1+$K$35)-$L$35)</f>
        <v/>
      </c>
      <c r="DZ86">
        <f>DZ85-MIN(DZ85,DY86)</f>
        <v/>
      </c>
      <c r="EA86">
        <f>DY86-(DZ85-DZ86)</f>
        <v/>
      </c>
      <c r="EB86">
        <f>MAX(0,EA86*(1+$K$35)-$L$35)</f>
        <v/>
      </c>
      <c r="EC86">
        <f>EC85-MIN(EC85,EB86)</f>
        <v/>
      </c>
      <c r="ED86">
        <f>EB86-(EC85-EC86)</f>
        <v/>
      </c>
      <c r="EE86">
        <f>MAX(0,ED86*(1+$K$35)-$L$35)</f>
        <v/>
      </c>
      <c r="EF86">
        <f>EF85-MIN(EF85,EE86)</f>
        <v/>
      </c>
      <c r="EG86">
        <f>EE86-(EF85-EF86)</f>
        <v/>
      </c>
      <c r="EH86">
        <f>MAX(0,EG86*(1+$K$35)-$L$35)</f>
        <v/>
      </c>
      <c r="EI86">
        <f>EI85-MIN(EI85,EH86)</f>
        <v/>
      </c>
      <c r="EJ86">
        <f>EH86-(EI85-EI86)</f>
        <v/>
      </c>
      <c r="EK86">
        <f>MAX(0,EJ86*(1+$K$35)-$L$35)</f>
        <v/>
      </c>
      <c r="EL86">
        <f>EL85-MIN(EL85,EK86)</f>
        <v/>
      </c>
      <c r="EM86">
        <f>EK86-(EL85-EL86)</f>
        <v/>
      </c>
      <c r="EN86">
        <f>MAX(0,EM86*(1+$K$35)-$L$35)</f>
        <v/>
      </c>
      <c r="EO86">
        <f>EO85-MIN(EO85,EN86)</f>
        <v/>
      </c>
      <c r="EP86">
        <f>EN86-(EO85-EO86)</f>
        <v/>
      </c>
      <c r="EQ86">
        <f>MAX(0,EP86*(1+$K$35)-$L$35)</f>
        <v/>
      </c>
      <c r="ER86">
        <f>ER85-MIN(ER85,EQ86)</f>
        <v/>
      </c>
      <c r="ES86">
        <f>EQ86-(ER85-ER86)</f>
        <v/>
      </c>
      <c r="ET86">
        <f>MAX(0,ES86*(1+$K$35)-$L$35)</f>
        <v/>
      </c>
      <c r="EU86">
        <f>EU85-MIN(EU85,ET86)</f>
        <v/>
      </c>
      <c r="EV86">
        <f>ET86-(EU85-EU86)</f>
        <v/>
      </c>
      <c r="EW86">
        <f>MAX(0,EV86*(1+$K$35)-$L$35)</f>
        <v/>
      </c>
      <c r="EX86">
        <f>EX85-MIN(EX85,EW86)</f>
        <v/>
      </c>
      <c r="EY86">
        <f>EW86-(EX85-EX86)</f>
        <v/>
      </c>
      <c r="EZ86">
        <f>MAX(0,EY86*(1+$K$35)-$L$35)</f>
        <v/>
      </c>
      <c r="FA86">
        <f>FA85-MIN(FA85,EZ86)</f>
        <v/>
      </c>
      <c r="FB86">
        <f>EZ86-(FA85-FA86)</f>
        <v/>
      </c>
      <c r="FC86">
        <f>MAX(0,FB86*(1+$K$35)-$L$35)</f>
        <v/>
      </c>
      <c r="FD86">
        <f>FD85-MIN(FD85,FC86)</f>
        <v/>
      </c>
      <c r="FE86">
        <f>FC86-(FD85-FD86)</f>
        <v/>
      </c>
      <c r="FF86">
        <f>MAX(0,FE86*(1+$K$35)-$L$35)</f>
        <v/>
      </c>
      <c r="FG86">
        <f>FG85-MIN(FG85,FF86)</f>
        <v/>
      </c>
      <c r="FH86">
        <f>FF86-(FG85-FG86)</f>
        <v/>
      </c>
      <c r="FI86">
        <f>MAX(0,FH86*(1+$K$35)-$L$35)</f>
        <v/>
      </c>
      <c r="FJ86">
        <f>FJ85-MIN(FJ85,FI86)</f>
        <v/>
      </c>
      <c r="FK86">
        <f>FI86-(FJ85-FJ86)</f>
        <v/>
      </c>
      <c r="FL86">
        <f>MAX(0,FK86*(1+$K$35)-$L$35)</f>
        <v/>
      </c>
      <c r="FM86">
        <f>FM85-MIN(FM85,FL86)</f>
        <v/>
      </c>
      <c r="FN86">
        <f>FL86-(FM85-FM86)</f>
        <v/>
      </c>
      <c r="FO86">
        <f>MAX(0,FN86*(1+$K$35)-$L$35)</f>
        <v/>
      </c>
      <c r="FP86">
        <f>FP85-MIN(FP85,FO86)</f>
        <v/>
      </c>
      <c r="FQ86">
        <f>FO86-(FP85-FP86)</f>
        <v/>
      </c>
      <c r="FR86">
        <f>MAX(0,FQ86*(1+$K$35)-$L$35)</f>
        <v/>
      </c>
      <c r="FS86">
        <f>FS85-MIN(FS85,FR86)</f>
        <v/>
      </c>
      <c r="FT86">
        <f>FR86-(FS85-FS86)</f>
        <v/>
      </c>
      <c r="FU86">
        <f>MAX(0,FT86*(1+$K$35)-$L$35)</f>
        <v/>
      </c>
      <c r="FV86">
        <f>FV85-MIN(FV85,FU86)</f>
        <v/>
      </c>
      <c r="FW86">
        <f>FU86-(FV85-FV86)</f>
        <v/>
      </c>
      <c r="FX86">
        <f>MAX(0,FW86*(1+$K$35)-$L$35)</f>
        <v/>
      </c>
      <c r="FY86">
        <f>FY85-MIN(FY85,FX86)</f>
        <v/>
      </c>
      <c r="FZ86">
        <f>FX86-(FY85-FY86)</f>
        <v/>
      </c>
      <c r="GA86">
        <f>MAX(0,FZ86*(1+$K$35)-$L$35)</f>
        <v/>
      </c>
      <c r="GB86">
        <f>GB85-MIN(GB85,GA86)</f>
        <v/>
      </c>
      <c r="GC86">
        <f>GA86-(GB85-GB86)</f>
        <v/>
      </c>
      <c r="GD86">
        <f>MAX(0,GC86*(1+$K$35)-$L$35)</f>
        <v/>
      </c>
      <c r="GE86">
        <f>GE85-MIN(GE85,GD86)</f>
        <v/>
      </c>
      <c r="GF86">
        <f>GD86-(GE85-GE86)</f>
        <v/>
      </c>
      <c r="GG86">
        <f>MAX(0,GF86*(1+$K$35)-$L$35)</f>
        <v/>
      </c>
      <c r="GH86">
        <f>GH85-MIN(GH85,GG86)</f>
        <v/>
      </c>
      <c r="GI86">
        <f>GG86-(GH85-GH86)</f>
        <v/>
      </c>
      <c r="GJ86">
        <f>MAX(0,GI86*(1+$K$35)-$L$35)</f>
        <v/>
      </c>
      <c r="GK86">
        <f>GK85-MIN(GK85,GJ86)</f>
        <v/>
      </c>
      <c r="GL86">
        <f>GJ86-(GK85-GK86)</f>
        <v/>
      </c>
      <c r="GM86">
        <f>MAX(0,GL86*(1+$K$35)-$L$35)</f>
        <v/>
      </c>
      <c r="GN86">
        <f>GN85-MIN(GN85,GM86)</f>
        <v/>
      </c>
      <c r="GO86">
        <f>GM86-(GN85-GN86)</f>
        <v/>
      </c>
      <c r="GP86">
        <f>MAX(0,GO86*(1+$K$35)-$L$35)</f>
        <v/>
      </c>
      <c r="GQ86">
        <f>GQ85-MIN(GQ85,GP86)</f>
        <v/>
      </c>
      <c r="GR86">
        <f>GP86-(GQ85-GQ86)</f>
        <v/>
      </c>
      <c r="GS86">
        <f>MAX(0,GR86*(1+$K$35)-$L$35)</f>
        <v/>
      </c>
      <c r="GT86">
        <f>GT85-MIN(GT85,GS86)</f>
        <v/>
      </c>
      <c r="GU86">
        <f>GS86-(GT85-GT86)</f>
        <v/>
      </c>
      <c r="GV86">
        <f>MAX(0,GU86*(1+$K$35)-$L$35)</f>
        <v/>
      </c>
      <c r="GW86">
        <f>GW85-MIN(GW85,GV86)</f>
        <v/>
      </c>
      <c r="GX86">
        <f>GV86-(GW85-GW86)</f>
        <v/>
      </c>
      <c r="GY86">
        <f>MAX(0,GX86*(1+$K$35)-$L$35)</f>
        <v/>
      </c>
      <c r="GZ86">
        <f>GZ85-MIN(GZ85,GY86)</f>
        <v/>
      </c>
      <c r="HA86">
        <f>GY86-(GZ85-GZ86)</f>
        <v/>
      </c>
      <c r="HB86">
        <f>MAX(0,HA86*(1+$K$35)-$L$35)</f>
        <v/>
      </c>
      <c r="HC86">
        <f>HC85-MIN(HC85,HB86)</f>
        <v/>
      </c>
      <c r="HD86">
        <f>HB86-(HC85-HC86)</f>
        <v/>
      </c>
      <c r="HE86">
        <f>MAX(0,HD86*(1+$K$35)-$L$35)</f>
        <v/>
      </c>
      <c r="HF86">
        <f>HF85-MIN(HF85,HE86)</f>
        <v/>
      </c>
      <c r="HG86">
        <f>HE86-(HF85-HF86)</f>
        <v/>
      </c>
      <c r="HH86">
        <f>MAX(0,HG86*(1+$K$35)-$L$35)</f>
        <v/>
      </c>
      <c r="HI86">
        <f>HI85-MIN(HI85,HH86)</f>
        <v/>
      </c>
      <c r="HJ86">
        <f>HH86-(HI85-HI86)</f>
        <v/>
      </c>
      <c r="HK86">
        <f>MAX(0,HJ86*(1+$K$35)-$L$35)</f>
        <v/>
      </c>
      <c r="HL86">
        <f>HL85-MIN(HL85,HK86)</f>
        <v/>
      </c>
      <c r="HM86">
        <f>HK86-(HL85-HL86)</f>
        <v/>
      </c>
      <c r="HN86">
        <f>MAX(0,HM86*(1+$K$35)-$L$35)</f>
        <v/>
      </c>
      <c r="HO86">
        <f>HO85-MIN(HO85,HN86)</f>
        <v/>
      </c>
      <c r="HP86">
        <f>HN86-(HO85-HO86)</f>
        <v/>
      </c>
      <c r="HQ86">
        <f>MAX(0,HP86*(1+$K$35)-$L$35)</f>
        <v/>
      </c>
      <c r="HR86">
        <f>HR85-MIN(HR85,HQ86)</f>
        <v/>
      </c>
      <c r="HS86">
        <f>HQ86-(HR85-HR86)</f>
        <v/>
      </c>
      <c r="HT86">
        <f>MAX(0,HS86*(1+$K$35)-$L$35)</f>
        <v/>
      </c>
      <c r="HU86">
        <f>HU85-MIN(HU85,HT86)</f>
        <v/>
      </c>
      <c r="HV86">
        <f>HT86-(HU85-HU86)</f>
        <v/>
      </c>
      <c r="HW86">
        <f>MAX(0,HV86*(1+$K$35)-$L$35)</f>
        <v/>
      </c>
      <c r="HX86">
        <f>HX85-MIN(HX85,HW86)</f>
        <v/>
      </c>
      <c r="HY86">
        <f>HW86-(HX85-HX86)</f>
        <v/>
      </c>
      <c r="HZ86">
        <f>MAX(0,HY86*(1+$K$35)-$L$35)</f>
        <v/>
      </c>
      <c r="IA86">
        <f>IA85-MIN(IA85,HZ86)</f>
        <v/>
      </c>
      <c r="IB86">
        <f>HZ86-(IA85-IA86)</f>
        <v/>
      </c>
      <c r="IC86">
        <f>MAX(0,IB86*(1+$K$35)-$L$35)</f>
        <v/>
      </c>
      <c r="ID86">
        <f>ID85-MIN(ID85,IC86)</f>
        <v/>
      </c>
      <c r="IE86">
        <f>IC86-(ID85-ID86)</f>
        <v/>
      </c>
      <c r="IF86">
        <f>MAX(0,IE86*(1+$K$35)-$L$35)</f>
        <v/>
      </c>
      <c r="IG86">
        <f>IG85-MIN(IG85,IF86)</f>
        <v/>
      </c>
      <c r="IH86">
        <f>IF86-(IG85-IG86)</f>
        <v/>
      </c>
      <c r="II86">
        <f>MAX(0,IH86*(1+$K$35)-$L$35)</f>
        <v/>
      </c>
      <c r="IJ86">
        <f>IJ85-MIN(IJ85,II86)</f>
        <v/>
      </c>
      <c r="IK86">
        <f>II86-(IJ85-IJ86)</f>
        <v/>
      </c>
      <c r="IL86">
        <f>MAX(0,IK86*(1+$K$35)-$L$35)</f>
        <v/>
      </c>
      <c r="IM86">
        <f>IM85-MIN(IM85,IL86)</f>
        <v/>
      </c>
      <c r="IN86">
        <f>IL86-(IM85-IM86)</f>
        <v/>
      </c>
      <c r="IO86">
        <f>MAX(0,IN86*(1+$K$35)-$L$35)</f>
        <v/>
      </c>
      <c r="IP86">
        <f>IP85-MIN(IP85,IO86)</f>
        <v/>
      </c>
      <c r="IQ86">
        <f>IO86-(IP85-IP86)</f>
        <v/>
      </c>
      <c r="IR86">
        <f>MAX(0,IQ86*(1+$K$35)-$L$35)</f>
        <v/>
      </c>
      <c r="IS86">
        <f>IS85-MIN(IS85,IR86)</f>
        <v/>
      </c>
      <c r="IT86">
        <f>IR86-(IS85-IS86)</f>
        <v/>
      </c>
      <c r="IU86">
        <f>MAX(0,IT86*(1+$K$35)-$L$35)</f>
        <v/>
      </c>
      <c r="IV86">
        <f>IV85-MIN(IV85,IU86)</f>
        <v/>
      </c>
      <c r="IW86">
        <f>IU86-(IV85-IV86)</f>
        <v/>
      </c>
      <c r="IX86">
        <f>MAX(0,IW86*(1+$K$35)-$L$35)</f>
        <v/>
      </c>
      <c r="IY86">
        <f>IY85-MIN(IY85,IX86)</f>
        <v/>
      </c>
      <c r="IZ86">
        <f>IX86-(IY85-IY86)</f>
        <v/>
      </c>
      <c r="JA86">
        <f>MAX(0,IZ86*(1+$K$35)-$L$35)</f>
        <v/>
      </c>
      <c r="JB86">
        <f>JB85-MIN(JB85,JA86)</f>
        <v/>
      </c>
      <c r="JC86">
        <f>JA86-(JB85-JB86)</f>
        <v/>
      </c>
      <c r="JD86">
        <f>MAX(0,JC86*(1+$K$35)-$L$35)</f>
        <v/>
      </c>
      <c r="JE86">
        <f>JE85-MIN(JE85,JD86)</f>
        <v/>
      </c>
      <c r="JF86">
        <f>JD86-(JE85-JE86)</f>
        <v/>
      </c>
      <c r="JG86">
        <f>MAX(0,JF86*(1+$K$35)-$L$35)</f>
        <v/>
      </c>
      <c r="JH86">
        <f>JH85-MIN(JH85,JG86)</f>
        <v/>
      </c>
      <c r="JI86">
        <f>JG86-(JH85-JH86)</f>
        <v/>
      </c>
      <c r="JJ86">
        <f>MAX(0,JI86*(1+$K$35)-$L$35)</f>
        <v/>
      </c>
      <c r="JK86">
        <f>JK85-MIN(JK85,JJ86)</f>
        <v/>
      </c>
      <c r="JL86">
        <f>JJ86-(JK85-JK86)</f>
        <v/>
      </c>
      <c r="JM86">
        <f>MAX(0,JL86*(1+$K$35)-$L$35)</f>
        <v/>
      </c>
      <c r="JN86">
        <f>JN85-MIN(JN85,JM86)</f>
        <v/>
      </c>
      <c r="JO86">
        <f>JM86-(JN85-JN86)</f>
        <v/>
      </c>
      <c r="JP86">
        <f>MAX(0,JO86*(1+$K$35)-$L$35)</f>
        <v/>
      </c>
      <c r="JQ86">
        <f>JQ85-MIN(JQ85,JP86)</f>
        <v/>
      </c>
      <c r="JR86">
        <f>JP86-(JQ85-JQ86)</f>
        <v/>
      </c>
      <c r="JS86">
        <f>MAX(0,JR86*(1+$K$35)-$L$35)</f>
        <v/>
      </c>
      <c r="JT86">
        <f>JT85-MIN(JT85,JS86)</f>
        <v/>
      </c>
      <c r="JU86">
        <f>JS86-(JT85-JT86)</f>
        <v/>
      </c>
      <c r="JV86">
        <f>MAX(0,JU86*(1+$K$35)-$L$35)</f>
        <v/>
      </c>
      <c r="JW86">
        <f>JW85-MIN(JW85,JV86)</f>
        <v/>
      </c>
      <c r="JX86">
        <f>JV86-(JW85-JW86)</f>
        <v/>
      </c>
      <c r="JY86">
        <f>MAX(0,JX86*(1+$K$35)-$L$35)</f>
        <v/>
      </c>
      <c r="JZ86">
        <f>JZ85-MIN(JZ85,JY86)</f>
        <v/>
      </c>
      <c r="KA86">
        <f>JY86-(JZ85-JZ86)</f>
        <v/>
      </c>
      <c r="KB86">
        <f>MAX(0,KA86*(1+$K$35)-$L$35)</f>
        <v/>
      </c>
      <c r="KC86">
        <f>KC85-MIN(KC85,KB86)</f>
        <v/>
      </c>
      <c r="KD86">
        <f>KB86-(KC85-KC86)</f>
        <v/>
      </c>
      <c r="KE86">
        <f>MAX(0,KD86*(1+$K$35)-$L$35)</f>
        <v/>
      </c>
      <c r="KF86">
        <f>KF85-MIN(KF85,KE86)</f>
        <v/>
      </c>
      <c r="KG86">
        <f>KE86-(KF85-KF86)</f>
        <v/>
      </c>
      <c r="KH86">
        <f>MAX(0,KG86*(1+$K$35)-$L$35)</f>
        <v/>
      </c>
      <c r="KI86">
        <f>KI85-MIN(KI85,KH86)</f>
        <v/>
      </c>
      <c r="KJ86">
        <f>KH86-(KI85-KI86)</f>
        <v/>
      </c>
      <c r="KK86">
        <f>MAX(0,KJ86*(1+$K$35)-$L$35)</f>
        <v/>
      </c>
      <c r="KL86">
        <f>KL85-MIN(KL85,KK86)</f>
        <v/>
      </c>
      <c r="KM86">
        <f>KK86-(KL85-KL86)</f>
        <v/>
      </c>
      <c r="KN86">
        <f>MAX(0,KM86*(1+$K$35)-$L$35)</f>
        <v/>
      </c>
      <c r="KO86">
        <f>KO85-MIN(KO85,KN86)</f>
        <v/>
      </c>
      <c r="KP86">
        <f>KN86-(KO85-KO86)</f>
        <v/>
      </c>
      <c r="KQ86">
        <f>MAX(0,KP86*(1+$K$35)-$L$35)</f>
        <v/>
      </c>
      <c r="KR86">
        <f>KR85-MIN(KR85,KQ86)</f>
        <v/>
      </c>
      <c r="KS86">
        <f>KQ86-(KR85-KR86)</f>
        <v/>
      </c>
      <c r="KT86">
        <f>MAX(0,KS86*(1+$K$35)-$L$35)</f>
        <v/>
      </c>
      <c r="KU86">
        <f>KU85-MIN(KU85,KT86)</f>
        <v/>
      </c>
      <c r="KV86">
        <f>KT86-(KU85-KU86)</f>
        <v/>
      </c>
      <c r="KW86">
        <f>MAX(0,KV86*(1+$K$35)-$L$35)</f>
        <v/>
      </c>
      <c r="KX86">
        <f>KX85-MIN(KX85,KW86)</f>
        <v/>
      </c>
      <c r="KY86">
        <f>KW86-(KX85-KX86)</f>
        <v/>
      </c>
      <c r="KZ86">
        <f>MAX(0,KY86*(1+$K$35)-$L$35)</f>
        <v/>
      </c>
      <c r="LA86">
        <f>LA85-MIN(LA85,KZ86)</f>
        <v/>
      </c>
      <c r="LB86">
        <f>KZ86-(LA85-LA86)</f>
        <v/>
      </c>
      <c r="LC86">
        <f>MAX(0,LB86*(1+$K$35)-$L$35)</f>
        <v/>
      </c>
      <c r="LD86">
        <f>LD85-MIN(LD85,LC86)</f>
        <v/>
      </c>
      <c r="LE86">
        <f>LC86-(LD85-LD86)</f>
        <v/>
      </c>
      <c r="LF86">
        <f>MAX(0,LE86*(1+$K$35)-$L$35)</f>
        <v/>
      </c>
      <c r="LG86">
        <f>LG85-MIN(LG85,LF86)</f>
        <v/>
      </c>
      <c r="LH86">
        <f>LF86-(LG85-LG86)</f>
        <v/>
      </c>
      <c r="LI86">
        <f>MAX(0,LH86*(1+$K$35)-$L$35)</f>
        <v/>
      </c>
      <c r="LJ86">
        <f>LJ85-MIN(LJ85,LI86)</f>
        <v/>
      </c>
      <c r="LK86">
        <f>LI86-(LJ85-LJ86)</f>
        <v/>
      </c>
      <c r="LL86">
        <f>MAX(0,LK86*(1+$K$35)-$L$35)</f>
        <v/>
      </c>
      <c r="LM86">
        <f>LM85-MIN(LM85,LL86)</f>
        <v/>
      </c>
      <c r="LN86">
        <f>LL86-(LM85-LM86)</f>
        <v/>
      </c>
      <c r="LO86">
        <f>MAX(0,LN86*(1+$K$35)-$L$35)</f>
        <v/>
      </c>
      <c r="LP86">
        <f>LP85-MIN(LP85,LO86)</f>
        <v/>
      </c>
      <c r="LQ86">
        <f>LO86-(LP85-LP86)</f>
        <v/>
      </c>
      <c r="LR86">
        <f>MAX(0,LQ86*(1+$K$35)-$L$35)</f>
        <v/>
      </c>
      <c r="LS86">
        <f>LS85-MIN(LS85,LR86)</f>
        <v/>
      </c>
      <c r="LT86">
        <f>LR86-(LS85-LS86)</f>
        <v/>
      </c>
      <c r="LU86">
        <f>MAX(0,LT86*(1+$K$35)-$L$35)</f>
        <v/>
      </c>
      <c r="LV86">
        <f>LV85-MIN(LV85,LU86)</f>
        <v/>
      </c>
      <c r="LW86">
        <f>LU86-(LV85-LV86)</f>
        <v/>
      </c>
      <c r="LX86">
        <f>MAX(0,LW86*(1+$K$35)-$L$35)</f>
        <v/>
      </c>
      <c r="LY86">
        <f>LY85-MIN(LY85,LX86)</f>
        <v/>
      </c>
      <c r="LZ86">
        <f>LX86-(LY85-LY86)</f>
        <v/>
      </c>
      <c r="MA86">
        <f>MAX(0,LZ86*(1+$K$35)-$L$35)</f>
        <v/>
      </c>
      <c r="MB86">
        <f>MB85-MIN(MB85,MA86)</f>
        <v/>
      </c>
      <c r="MC86">
        <f>MA86-(MB85-MB86)</f>
        <v/>
      </c>
      <c r="MD86">
        <f>MAX(0,MC86*(1+$K$35)-$L$35)</f>
        <v/>
      </c>
      <c r="ME86">
        <f>ME85-MIN(ME85,MD86)</f>
        <v/>
      </c>
      <c r="MF86">
        <f>MD86-(ME85-ME86)</f>
        <v/>
      </c>
      <c r="MG86">
        <f>MAX(0,MF86*(1+$K$35)-$L$35)</f>
        <v/>
      </c>
      <c r="MH86">
        <f>MH85-MIN(MH85,MG86)</f>
        <v/>
      </c>
      <c r="MI86">
        <f>MG86-(MH85-MH86)</f>
        <v/>
      </c>
      <c r="MJ86">
        <f>MAX(0,MI86*(1+$K$35)-$L$35)</f>
        <v/>
      </c>
      <c r="MK86">
        <f>MK85-MIN(MK85,MJ86)</f>
        <v/>
      </c>
      <c r="ML86">
        <f>MJ86-(MK85-MK86)</f>
        <v/>
      </c>
      <c r="MM86">
        <f>MAX(0,ML86*(1+$K$35)-$L$35)</f>
        <v/>
      </c>
      <c r="MN86">
        <f>MN85-MIN(MN85,MM86)</f>
        <v/>
      </c>
      <c r="MO86">
        <f>MM86-(MN85-MN86)</f>
        <v/>
      </c>
      <c r="MP86">
        <f>MAX(0,MO86*(1+$K$35)-$L$35)</f>
        <v/>
      </c>
      <c r="MQ86">
        <f>MQ85-MIN(MQ85,MP86)</f>
        <v/>
      </c>
      <c r="MR86">
        <f>MP86-(MQ85-MQ86)</f>
        <v/>
      </c>
      <c r="MS86">
        <f>MAX(0,MR86*(1+$K$35)-$L$35)</f>
        <v/>
      </c>
      <c r="MT86">
        <f>MT85-MIN(MT85,MS86)</f>
        <v/>
      </c>
      <c r="MU86">
        <f>MS86-(MT85-MT86)</f>
        <v/>
      </c>
      <c r="MV86">
        <f>MAX(0,MU86*(1+$K$35)-$L$35)</f>
        <v/>
      </c>
      <c r="MW86">
        <f>MW85-MIN(MW85,MV86)</f>
        <v/>
      </c>
      <c r="MX86">
        <f>MV86-(MW85-MW86)</f>
        <v/>
      </c>
    </row>
    <row r="87">
      <c r="A87" t="inlineStr">
        <is>
          <t>slot 13</t>
        </is>
      </c>
      <c r="B87">
        <f>J36</f>
        <v/>
      </c>
      <c r="C87">
        <f>MAX(0,B87*(1+$K$36)-$L$36)</f>
        <v/>
      </c>
      <c r="D87">
        <f>D86-MIN(D86,C87)</f>
        <v/>
      </c>
      <c r="E87">
        <f>C87-(D86-D87)</f>
        <v/>
      </c>
      <c r="F87">
        <f>MAX(0,E87*(1+$K$36)-$L$36)</f>
        <v/>
      </c>
      <c r="G87">
        <f>G86-MIN(G86,F87)</f>
        <v/>
      </c>
      <c r="H87">
        <f>F87-(G86-G87)</f>
        <v/>
      </c>
      <c r="I87">
        <f>MAX(0,H87*(1+$K$36)-$L$36)</f>
        <v/>
      </c>
      <c r="J87">
        <f>J86-MIN(J86,I87)</f>
        <v/>
      </c>
      <c r="K87">
        <f>I87-(J86-J87)</f>
        <v/>
      </c>
      <c r="L87">
        <f>MAX(0,K87*(1+$K$36)-$L$36)</f>
        <v/>
      </c>
      <c r="M87">
        <f>M86-MIN(M86,L87)</f>
        <v/>
      </c>
      <c r="N87">
        <f>L87-(M86-M87)</f>
        <v/>
      </c>
      <c r="O87">
        <f>MAX(0,N87*(1+$K$36)-$L$36)</f>
        <v/>
      </c>
      <c r="P87">
        <f>P86-MIN(P86,O87)</f>
        <v/>
      </c>
      <c r="Q87">
        <f>O87-(P86-P87)</f>
        <v/>
      </c>
      <c r="R87">
        <f>MAX(0,Q87*(1+$K$36)-$L$36)</f>
        <v/>
      </c>
      <c r="S87">
        <f>S86-MIN(S86,R87)</f>
        <v/>
      </c>
      <c r="T87">
        <f>R87-(S86-S87)</f>
        <v/>
      </c>
      <c r="U87">
        <f>MAX(0,T87*(1+$K$36)-$L$36)</f>
        <v/>
      </c>
      <c r="V87">
        <f>V86-MIN(V86,U87)</f>
        <v/>
      </c>
      <c r="W87">
        <f>U87-(V86-V87)</f>
        <v/>
      </c>
      <c r="X87">
        <f>MAX(0,W87*(1+$K$36)-$L$36)</f>
        <v/>
      </c>
      <c r="Y87">
        <f>Y86-MIN(Y86,X87)</f>
        <v/>
      </c>
      <c r="Z87">
        <f>X87-(Y86-Y87)</f>
        <v/>
      </c>
      <c r="AA87">
        <f>MAX(0,Z87*(1+$K$36)-$L$36)</f>
        <v/>
      </c>
      <c r="AB87">
        <f>AB86-MIN(AB86,AA87)</f>
        <v/>
      </c>
      <c r="AC87">
        <f>AA87-(AB86-AB87)</f>
        <v/>
      </c>
      <c r="AD87">
        <f>MAX(0,AC87*(1+$K$36)-$L$36)</f>
        <v/>
      </c>
      <c r="AE87">
        <f>AE86-MIN(AE86,AD87)</f>
        <v/>
      </c>
      <c r="AF87">
        <f>AD87-(AE86-AE87)</f>
        <v/>
      </c>
      <c r="AG87">
        <f>MAX(0,AF87*(1+$K$36)-$L$36)</f>
        <v/>
      </c>
      <c r="AH87">
        <f>AH86-MIN(AH86,AG87)</f>
        <v/>
      </c>
      <c r="AI87">
        <f>AG87-(AH86-AH87)</f>
        <v/>
      </c>
      <c r="AJ87">
        <f>MAX(0,AI87*(1+$K$36)-$L$36)</f>
        <v/>
      </c>
      <c r="AK87">
        <f>AK86-MIN(AK86,AJ87)</f>
        <v/>
      </c>
      <c r="AL87">
        <f>AJ87-(AK86-AK87)</f>
        <v/>
      </c>
      <c r="AM87">
        <f>MAX(0,AL87*(1+$K$36)-$L$36)</f>
        <v/>
      </c>
      <c r="AN87">
        <f>AN86-MIN(AN86,AM87)</f>
        <v/>
      </c>
      <c r="AO87">
        <f>AM87-(AN86-AN87)</f>
        <v/>
      </c>
      <c r="AP87">
        <f>MAX(0,AO87*(1+$K$36)-$L$36)</f>
        <v/>
      </c>
      <c r="AQ87">
        <f>AQ86-MIN(AQ86,AP87)</f>
        <v/>
      </c>
      <c r="AR87">
        <f>AP87-(AQ86-AQ87)</f>
        <v/>
      </c>
      <c r="AS87">
        <f>MAX(0,AR87*(1+$K$36)-$L$36)</f>
        <v/>
      </c>
      <c r="AT87">
        <f>AT86-MIN(AT86,AS87)</f>
        <v/>
      </c>
      <c r="AU87">
        <f>AS87-(AT86-AT87)</f>
        <v/>
      </c>
      <c r="AV87">
        <f>MAX(0,AU87*(1+$K$36)-$L$36)</f>
        <v/>
      </c>
      <c r="AW87">
        <f>AW86-MIN(AW86,AV87)</f>
        <v/>
      </c>
      <c r="AX87">
        <f>AV87-(AW86-AW87)</f>
        <v/>
      </c>
      <c r="AY87">
        <f>MAX(0,AX87*(1+$K$36)-$L$36)</f>
        <v/>
      </c>
      <c r="AZ87">
        <f>AZ86-MIN(AZ86,AY87)</f>
        <v/>
      </c>
      <c r="BA87">
        <f>AY87-(AZ86-AZ87)</f>
        <v/>
      </c>
      <c r="BB87">
        <f>MAX(0,BA87*(1+$K$36)-$L$36)</f>
        <v/>
      </c>
      <c r="BC87">
        <f>BC86-MIN(BC86,BB87)</f>
        <v/>
      </c>
      <c r="BD87">
        <f>BB87-(BC86-BC87)</f>
        <v/>
      </c>
      <c r="BE87">
        <f>MAX(0,BD87*(1+$K$36)-$L$36)</f>
        <v/>
      </c>
      <c r="BF87">
        <f>BF86-MIN(BF86,BE87)</f>
        <v/>
      </c>
      <c r="BG87">
        <f>BE87-(BF86-BF87)</f>
        <v/>
      </c>
      <c r="BH87">
        <f>MAX(0,BG87*(1+$K$36)-$L$36)</f>
        <v/>
      </c>
      <c r="BI87">
        <f>BI86-MIN(BI86,BH87)</f>
        <v/>
      </c>
      <c r="BJ87">
        <f>BH87-(BI86-BI87)</f>
        <v/>
      </c>
      <c r="BK87">
        <f>MAX(0,BJ87*(1+$K$36)-$L$36)</f>
        <v/>
      </c>
      <c r="BL87">
        <f>BL86-MIN(BL86,BK87)</f>
        <v/>
      </c>
      <c r="BM87">
        <f>BK87-(BL86-BL87)</f>
        <v/>
      </c>
      <c r="BN87">
        <f>MAX(0,BM87*(1+$K$36)-$L$36)</f>
        <v/>
      </c>
      <c r="BO87">
        <f>BO86-MIN(BO86,BN87)</f>
        <v/>
      </c>
      <c r="BP87">
        <f>BN87-(BO86-BO87)</f>
        <v/>
      </c>
      <c r="BQ87">
        <f>MAX(0,BP87*(1+$K$36)-$L$36)</f>
        <v/>
      </c>
      <c r="BR87">
        <f>BR86-MIN(BR86,BQ87)</f>
        <v/>
      </c>
      <c r="BS87">
        <f>BQ87-(BR86-BR87)</f>
        <v/>
      </c>
      <c r="BT87">
        <f>MAX(0,BS87*(1+$K$36)-$L$36)</f>
        <v/>
      </c>
      <c r="BU87">
        <f>BU86-MIN(BU86,BT87)</f>
        <v/>
      </c>
      <c r="BV87">
        <f>BT87-(BU86-BU87)</f>
        <v/>
      </c>
      <c r="BW87">
        <f>MAX(0,BV87*(1+$K$36)-$L$36)</f>
        <v/>
      </c>
      <c r="BX87">
        <f>BX86-MIN(BX86,BW87)</f>
        <v/>
      </c>
      <c r="BY87">
        <f>BW87-(BX86-BX87)</f>
        <v/>
      </c>
      <c r="BZ87">
        <f>MAX(0,BY87*(1+$K$36)-$L$36)</f>
        <v/>
      </c>
      <c r="CA87">
        <f>CA86-MIN(CA86,BZ87)</f>
        <v/>
      </c>
      <c r="CB87">
        <f>BZ87-(CA86-CA87)</f>
        <v/>
      </c>
      <c r="CC87">
        <f>MAX(0,CB87*(1+$K$36)-$L$36)</f>
        <v/>
      </c>
      <c r="CD87">
        <f>CD86-MIN(CD86,CC87)</f>
        <v/>
      </c>
      <c r="CE87">
        <f>CC87-(CD86-CD87)</f>
        <v/>
      </c>
      <c r="CF87">
        <f>MAX(0,CE87*(1+$K$36)-$L$36)</f>
        <v/>
      </c>
      <c r="CG87">
        <f>CG86-MIN(CG86,CF87)</f>
        <v/>
      </c>
      <c r="CH87">
        <f>CF87-(CG86-CG87)</f>
        <v/>
      </c>
      <c r="CI87">
        <f>MAX(0,CH87*(1+$K$36)-$L$36)</f>
        <v/>
      </c>
      <c r="CJ87">
        <f>CJ86-MIN(CJ86,CI87)</f>
        <v/>
      </c>
      <c r="CK87">
        <f>CI87-(CJ86-CJ87)</f>
        <v/>
      </c>
      <c r="CL87">
        <f>MAX(0,CK87*(1+$K$36)-$L$36)</f>
        <v/>
      </c>
      <c r="CM87">
        <f>CM86-MIN(CM86,CL87)</f>
        <v/>
      </c>
      <c r="CN87">
        <f>CL87-(CM86-CM87)</f>
        <v/>
      </c>
      <c r="CO87">
        <f>MAX(0,CN87*(1+$K$36)-$L$36)</f>
        <v/>
      </c>
      <c r="CP87">
        <f>CP86-MIN(CP86,CO87)</f>
        <v/>
      </c>
      <c r="CQ87">
        <f>CO87-(CP86-CP87)</f>
        <v/>
      </c>
      <c r="CR87">
        <f>MAX(0,CQ87*(1+$K$36)-$L$36)</f>
        <v/>
      </c>
      <c r="CS87">
        <f>CS86-MIN(CS86,CR87)</f>
        <v/>
      </c>
      <c r="CT87">
        <f>CR87-(CS86-CS87)</f>
        <v/>
      </c>
      <c r="CU87">
        <f>MAX(0,CT87*(1+$K$36)-$L$36)</f>
        <v/>
      </c>
      <c r="CV87">
        <f>CV86-MIN(CV86,CU87)</f>
        <v/>
      </c>
      <c r="CW87">
        <f>CU87-(CV86-CV87)</f>
        <v/>
      </c>
      <c r="CX87">
        <f>MAX(0,CW87*(1+$K$36)-$L$36)</f>
        <v/>
      </c>
      <c r="CY87">
        <f>CY86-MIN(CY86,CX87)</f>
        <v/>
      </c>
      <c r="CZ87">
        <f>CX87-(CY86-CY87)</f>
        <v/>
      </c>
      <c r="DA87">
        <f>MAX(0,CZ87*(1+$K$36)-$L$36)</f>
        <v/>
      </c>
      <c r="DB87">
        <f>DB86-MIN(DB86,DA87)</f>
        <v/>
      </c>
      <c r="DC87">
        <f>DA87-(DB86-DB87)</f>
        <v/>
      </c>
      <c r="DD87">
        <f>MAX(0,DC87*(1+$K$36)-$L$36)</f>
        <v/>
      </c>
      <c r="DE87">
        <f>DE86-MIN(DE86,DD87)</f>
        <v/>
      </c>
      <c r="DF87">
        <f>DD87-(DE86-DE87)</f>
        <v/>
      </c>
      <c r="DG87">
        <f>MAX(0,DF87*(1+$K$36)-$L$36)</f>
        <v/>
      </c>
      <c r="DH87">
        <f>DH86-MIN(DH86,DG87)</f>
        <v/>
      </c>
      <c r="DI87">
        <f>DG87-(DH86-DH87)</f>
        <v/>
      </c>
      <c r="DJ87">
        <f>MAX(0,DI87*(1+$K$36)-$L$36)</f>
        <v/>
      </c>
      <c r="DK87">
        <f>DK86-MIN(DK86,DJ87)</f>
        <v/>
      </c>
      <c r="DL87">
        <f>DJ87-(DK86-DK87)</f>
        <v/>
      </c>
      <c r="DM87">
        <f>MAX(0,DL87*(1+$K$36)-$L$36)</f>
        <v/>
      </c>
      <c r="DN87">
        <f>DN86-MIN(DN86,DM87)</f>
        <v/>
      </c>
      <c r="DO87">
        <f>DM87-(DN86-DN87)</f>
        <v/>
      </c>
      <c r="DP87">
        <f>MAX(0,DO87*(1+$K$36)-$L$36)</f>
        <v/>
      </c>
      <c r="DQ87">
        <f>DQ86-MIN(DQ86,DP87)</f>
        <v/>
      </c>
      <c r="DR87">
        <f>DP87-(DQ86-DQ87)</f>
        <v/>
      </c>
      <c r="DS87">
        <f>MAX(0,DR87*(1+$K$36)-$L$36)</f>
        <v/>
      </c>
      <c r="DT87">
        <f>DT86-MIN(DT86,DS87)</f>
        <v/>
      </c>
      <c r="DU87">
        <f>DS87-(DT86-DT87)</f>
        <v/>
      </c>
      <c r="DV87">
        <f>MAX(0,DU87*(1+$K$36)-$L$36)</f>
        <v/>
      </c>
      <c r="DW87">
        <f>DW86-MIN(DW86,DV87)</f>
        <v/>
      </c>
      <c r="DX87">
        <f>DV87-(DW86-DW87)</f>
        <v/>
      </c>
      <c r="DY87">
        <f>MAX(0,DX87*(1+$K$36)-$L$36)</f>
        <v/>
      </c>
      <c r="DZ87">
        <f>DZ86-MIN(DZ86,DY87)</f>
        <v/>
      </c>
      <c r="EA87">
        <f>DY87-(DZ86-DZ87)</f>
        <v/>
      </c>
      <c r="EB87">
        <f>MAX(0,EA87*(1+$K$36)-$L$36)</f>
        <v/>
      </c>
      <c r="EC87">
        <f>EC86-MIN(EC86,EB87)</f>
        <v/>
      </c>
      <c r="ED87">
        <f>EB87-(EC86-EC87)</f>
        <v/>
      </c>
      <c r="EE87">
        <f>MAX(0,ED87*(1+$K$36)-$L$36)</f>
        <v/>
      </c>
      <c r="EF87">
        <f>EF86-MIN(EF86,EE87)</f>
        <v/>
      </c>
      <c r="EG87">
        <f>EE87-(EF86-EF87)</f>
        <v/>
      </c>
      <c r="EH87">
        <f>MAX(0,EG87*(1+$K$36)-$L$36)</f>
        <v/>
      </c>
      <c r="EI87">
        <f>EI86-MIN(EI86,EH87)</f>
        <v/>
      </c>
      <c r="EJ87">
        <f>EH87-(EI86-EI87)</f>
        <v/>
      </c>
      <c r="EK87">
        <f>MAX(0,EJ87*(1+$K$36)-$L$36)</f>
        <v/>
      </c>
      <c r="EL87">
        <f>EL86-MIN(EL86,EK87)</f>
        <v/>
      </c>
      <c r="EM87">
        <f>EK87-(EL86-EL87)</f>
        <v/>
      </c>
      <c r="EN87">
        <f>MAX(0,EM87*(1+$K$36)-$L$36)</f>
        <v/>
      </c>
      <c r="EO87">
        <f>EO86-MIN(EO86,EN87)</f>
        <v/>
      </c>
      <c r="EP87">
        <f>EN87-(EO86-EO87)</f>
        <v/>
      </c>
      <c r="EQ87">
        <f>MAX(0,EP87*(1+$K$36)-$L$36)</f>
        <v/>
      </c>
      <c r="ER87">
        <f>ER86-MIN(ER86,EQ87)</f>
        <v/>
      </c>
      <c r="ES87">
        <f>EQ87-(ER86-ER87)</f>
        <v/>
      </c>
      <c r="ET87">
        <f>MAX(0,ES87*(1+$K$36)-$L$36)</f>
        <v/>
      </c>
      <c r="EU87">
        <f>EU86-MIN(EU86,ET87)</f>
        <v/>
      </c>
      <c r="EV87">
        <f>ET87-(EU86-EU87)</f>
        <v/>
      </c>
      <c r="EW87">
        <f>MAX(0,EV87*(1+$K$36)-$L$36)</f>
        <v/>
      </c>
      <c r="EX87">
        <f>EX86-MIN(EX86,EW87)</f>
        <v/>
      </c>
      <c r="EY87">
        <f>EW87-(EX86-EX87)</f>
        <v/>
      </c>
      <c r="EZ87">
        <f>MAX(0,EY87*(1+$K$36)-$L$36)</f>
        <v/>
      </c>
      <c r="FA87">
        <f>FA86-MIN(FA86,EZ87)</f>
        <v/>
      </c>
      <c r="FB87">
        <f>EZ87-(FA86-FA87)</f>
        <v/>
      </c>
      <c r="FC87">
        <f>MAX(0,FB87*(1+$K$36)-$L$36)</f>
        <v/>
      </c>
      <c r="FD87">
        <f>FD86-MIN(FD86,FC87)</f>
        <v/>
      </c>
      <c r="FE87">
        <f>FC87-(FD86-FD87)</f>
        <v/>
      </c>
      <c r="FF87">
        <f>MAX(0,FE87*(1+$K$36)-$L$36)</f>
        <v/>
      </c>
      <c r="FG87">
        <f>FG86-MIN(FG86,FF87)</f>
        <v/>
      </c>
      <c r="FH87">
        <f>FF87-(FG86-FG87)</f>
        <v/>
      </c>
      <c r="FI87">
        <f>MAX(0,FH87*(1+$K$36)-$L$36)</f>
        <v/>
      </c>
      <c r="FJ87">
        <f>FJ86-MIN(FJ86,FI87)</f>
        <v/>
      </c>
      <c r="FK87">
        <f>FI87-(FJ86-FJ87)</f>
        <v/>
      </c>
      <c r="FL87">
        <f>MAX(0,FK87*(1+$K$36)-$L$36)</f>
        <v/>
      </c>
      <c r="FM87">
        <f>FM86-MIN(FM86,FL87)</f>
        <v/>
      </c>
      <c r="FN87">
        <f>FL87-(FM86-FM87)</f>
        <v/>
      </c>
      <c r="FO87">
        <f>MAX(0,FN87*(1+$K$36)-$L$36)</f>
        <v/>
      </c>
      <c r="FP87">
        <f>FP86-MIN(FP86,FO87)</f>
        <v/>
      </c>
      <c r="FQ87">
        <f>FO87-(FP86-FP87)</f>
        <v/>
      </c>
      <c r="FR87">
        <f>MAX(0,FQ87*(1+$K$36)-$L$36)</f>
        <v/>
      </c>
      <c r="FS87">
        <f>FS86-MIN(FS86,FR87)</f>
        <v/>
      </c>
      <c r="FT87">
        <f>FR87-(FS86-FS87)</f>
        <v/>
      </c>
      <c r="FU87">
        <f>MAX(0,FT87*(1+$K$36)-$L$36)</f>
        <v/>
      </c>
      <c r="FV87">
        <f>FV86-MIN(FV86,FU87)</f>
        <v/>
      </c>
      <c r="FW87">
        <f>FU87-(FV86-FV87)</f>
        <v/>
      </c>
      <c r="FX87">
        <f>MAX(0,FW87*(1+$K$36)-$L$36)</f>
        <v/>
      </c>
      <c r="FY87">
        <f>FY86-MIN(FY86,FX87)</f>
        <v/>
      </c>
      <c r="FZ87">
        <f>FX87-(FY86-FY87)</f>
        <v/>
      </c>
      <c r="GA87">
        <f>MAX(0,FZ87*(1+$K$36)-$L$36)</f>
        <v/>
      </c>
      <c r="GB87">
        <f>GB86-MIN(GB86,GA87)</f>
        <v/>
      </c>
      <c r="GC87">
        <f>GA87-(GB86-GB87)</f>
        <v/>
      </c>
      <c r="GD87">
        <f>MAX(0,GC87*(1+$K$36)-$L$36)</f>
        <v/>
      </c>
      <c r="GE87">
        <f>GE86-MIN(GE86,GD87)</f>
        <v/>
      </c>
      <c r="GF87">
        <f>GD87-(GE86-GE87)</f>
        <v/>
      </c>
      <c r="GG87">
        <f>MAX(0,GF87*(1+$K$36)-$L$36)</f>
        <v/>
      </c>
      <c r="GH87">
        <f>GH86-MIN(GH86,GG87)</f>
        <v/>
      </c>
      <c r="GI87">
        <f>GG87-(GH86-GH87)</f>
        <v/>
      </c>
      <c r="GJ87">
        <f>MAX(0,GI87*(1+$K$36)-$L$36)</f>
        <v/>
      </c>
      <c r="GK87">
        <f>GK86-MIN(GK86,GJ87)</f>
        <v/>
      </c>
      <c r="GL87">
        <f>GJ87-(GK86-GK87)</f>
        <v/>
      </c>
      <c r="GM87">
        <f>MAX(0,GL87*(1+$K$36)-$L$36)</f>
        <v/>
      </c>
      <c r="GN87">
        <f>GN86-MIN(GN86,GM87)</f>
        <v/>
      </c>
      <c r="GO87">
        <f>GM87-(GN86-GN87)</f>
        <v/>
      </c>
      <c r="GP87">
        <f>MAX(0,GO87*(1+$K$36)-$L$36)</f>
        <v/>
      </c>
      <c r="GQ87">
        <f>GQ86-MIN(GQ86,GP87)</f>
        <v/>
      </c>
      <c r="GR87">
        <f>GP87-(GQ86-GQ87)</f>
        <v/>
      </c>
      <c r="GS87">
        <f>MAX(0,GR87*(1+$K$36)-$L$36)</f>
        <v/>
      </c>
      <c r="GT87">
        <f>GT86-MIN(GT86,GS87)</f>
        <v/>
      </c>
      <c r="GU87">
        <f>GS87-(GT86-GT87)</f>
        <v/>
      </c>
      <c r="GV87">
        <f>MAX(0,GU87*(1+$K$36)-$L$36)</f>
        <v/>
      </c>
      <c r="GW87">
        <f>GW86-MIN(GW86,GV87)</f>
        <v/>
      </c>
      <c r="GX87">
        <f>GV87-(GW86-GW87)</f>
        <v/>
      </c>
      <c r="GY87">
        <f>MAX(0,GX87*(1+$K$36)-$L$36)</f>
        <v/>
      </c>
      <c r="GZ87">
        <f>GZ86-MIN(GZ86,GY87)</f>
        <v/>
      </c>
      <c r="HA87">
        <f>GY87-(GZ86-GZ87)</f>
        <v/>
      </c>
      <c r="HB87">
        <f>MAX(0,HA87*(1+$K$36)-$L$36)</f>
        <v/>
      </c>
      <c r="HC87">
        <f>HC86-MIN(HC86,HB87)</f>
        <v/>
      </c>
      <c r="HD87">
        <f>HB87-(HC86-HC87)</f>
        <v/>
      </c>
      <c r="HE87">
        <f>MAX(0,HD87*(1+$K$36)-$L$36)</f>
        <v/>
      </c>
      <c r="HF87">
        <f>HF86-MIN(HF86,HE87)</f>
        <v/>
      </c>
      <c r="HG87">
        <f>HE87-(HF86-HF87)</f>
        <v/>
      </c>
      <c r="HH87">
        <f>MAX(0,HG87*(1+$K$36)-$L$36)</f>
        <v/>
      </c>
      <c r="HI87">
        <f>HI86-MIN(HI86,HH87)</f>
        <v/>
      </c>
      <c r="HJ87">
        <f>HH87-(HI86-HI87)</f>
        <v/>
      </c>
      <c r="HK87">
        <f>MAX(0,HJ87*(1+$K$36)-$L$36)</f>
        <v/>
      </c>
      <c r="HL87">
        <f>HL86-MIN(HL86,HK87)</f>
        <v/>
      </c>
      <c r="HM87">
        <f>HK87-(HL86-HL87)</f>
        <v/>
      </c>
      <c r="HN87">
        <f>MAX(0,HM87*(1+$K$36)-$L$36)</f>
        <v/>
      </c>
      <c r="HO87">
        <f>HO86-MIN(HO86,HN87)</f>
        <v/>
      </c>
      <c r="HP87">
        <f>HN87-(HO86-HO87)</f>
        <v/>
      </c>
      <c r="HQ87">
        <f>MAX(0,HP87*(1+$K$36)-$L$36)</f>
        <v/>
      </c>
      <c r="HR87">
        <f>HR86-MIN(HR86,HQ87)</f>
        <v/>
      </c>
      <c r="HS87">
        <f>HQ87-(HR86-HR87)</f>
        <v/>
      </c>
      <c r="HT87">
        <f>MAX(0,HS87*(1+$K$36)-$L$36)</f>
        <v/>
      </c>
      <c r="HU87">
        <f>HU86-MIN(HU86,HT87)</f>
        <v/>
      </c>
      <c r="HV87">
        <f>HT87-(HU86-HU87)</f>
        <v/>
      </c>
      <c r="HW87">
        <f>MAX(0,HV87*(1+$K$36)-$L$36)</f>
        <v/>
      </c>
      <c r="HX87">
        <f>HX86-MIN(HX86,HW87)</f>
        <v/>
      </c>
      <c r="HY87">
        <f>HW87-(HX86-HX87)</f>
        <v/>
      </c>
      <c r="HZ87">
        <f>MAX(0,HY87*(1+$K$36)-$L$36)</f>
        <v/>
      </c>
      <c r="IA87">
        <f>IA86-MIN(IA86,HZ87)</f>
        <v/>
      </c>
      <c r="IB87">
        <f>HZ87-(IA86-IA87)</f>
        <v/>
      </c>
      <c r="IC87">
        <f>MAX(0,IB87*(1+$K$36)-$L$36)</f>
        <v/>
      </c>
      <c r="ID87">
        <f>ID86-MIN(ID86,IC87)</f>
        <v/>
      </c>
      <c r="IE87">
        <f>IC87-(ID86-ID87)</f>
        <v/>
      </c>
      <c r="IF87">
        <f>MAX(0,IE87*(1+$K$36)-$L$36)</f>
        <v/>
      </c>
      <c r="IG87">
        <f>IG86-MIN(IG86,IF87)</f>
        <v/>
      </c>
      <c r="IH87">
        <f>IF87-(IG86-IG87)</f>
        <v/>
      </c>
      <c r="II87">
        <f>MAX(0,IH87*(1+$K$36)-$L$36)</f>
        <v/>
      </c>
      <c r="IJ87">
        <f>IJ86-MIN(IJ86,II87)</f>
        <v/>
      </c>
      <c r="IK87">
        <f>II87-(IJ86-IJ87)</f>
        <v/>
      </c>
      <c r="IL87">
        <f>MAX(0,IK87*(1+$K$36)-$L$36)</f>
        <v/>
      </c>
      <c r="IM87">
        <f>IM86-MIN(IM86,IL87)</f>
        <v/>
      </c>
      <c r="IN87">
        <f>IL87-(IM86-IM87)</f>
        <v/>
      </c>
      <c r="IO87">
        <f>MAX(0,IN87*(1+$K$36)-$L$36)</f>
        <v/>
      </c>
      <c r="IP87">
        <f>IP86-MIN(IP86,IO87)</f>
        <v/>
      </c>
      <c r="IQ87">
        <f>IO87-(IP86-IP87)</f>
        <v/>
      </c>
      <c r="IR87">
        <f>MAX(0,IQ87*(1+$K$36)-$L$36)</f>
        <v/>
      </c>
      <c r="IS87">
        <f>IS86-MIN(IS86,IR87)</f>
        <v/>
      </c>
      <c r="IT87">
        <f>IR87-(IS86-IS87)</f>
        <v/>
      </c>
      <c r="IU87">
        <f>MAX(0,IT87*(1+$K$36)-$L$36)</f>
        <v/>
      </c>
      <c r="IV87">
        <f>IV86-MIN(IV86,IU87)</f>
        <v/>
      </c>
      <c r="IW87">
        <f>IU87-(IV86-IV87)</f>
        <v/>
      </c>
      <c r="IX87">
        <f>MAX(0,IW87*(1+$K$36)-$L$36)</f>
        <v/>
      </c>
      <c r="IY87">
        <f>IY86-MIN(IY86,IX87)</f>
        <v/>
      </c>
      <c r="IZ87">
        <f>IX87-(IY86-IY87)</f>
        <v/>
      </c>
      <c r="JA87">
        <f>MAX(0,IZ87*(1+$K$36)-$L$36)</f>
        <v/>
      </c>
      <c r="JB87">
        <f>JB86-MIN(JB86,JA87)</f>
        <v/>
      </c>
      <c r="JC87">
        <f>JA87-(JB86-JB87)</f>
        <v/>
      </c>
      <c r="JD87">
        <f>MAX(0,JC87*(1+$K$36)-$L$36)</f>
        <v/>
      </c>
      <c r="JE87">
        <f>JE86-MIN(JE86,JD87)</f>
        <v/>
      </c>
      <c r="JF87">
        <f>JD87-(JE86-JE87)</f>
        <v/>
      </c>
      <c r="JG87">
        <f>MAX(0,JF87*(1+$K$36)-$L$36)</f>
        <v/>
      </c>
      <c r="JH87">
        <f>JH86-MIN(JH86,JG87)</f>
        <v/>
      </c>
      <c r="JI87">
        <f>JG87-(JH86-JH87)</f>
        <v/>
      </c>
      <c r="JJ87">
        <f>MAX(0,JI87*(1+$K$36)-$L$36)</f>
        <v/>
      </c>
      <c r="JK87">
        <f>JK86-MIN(JK86,JJ87)</f>
        <v/>
      </c>
      <c r="JL87">
        <f>JJ87-(JK86-JK87)</f>
        <v/>
      </c>
      <c r="JM87">
        <f>MAX(0,JL87*(1+$K$36)-$L$36)</f>
        <v/>
      </c>
      <c r="JN87">
        <f>JN86-MIN(JN86,JM87)</f>
        <v/>
      </c>
      <c r="JO87">
        <f>JM87-(JN86-JN87)</f>
        <v/>
      </c>
      <c r="JP87">
        <f>MAX(0,JO87*(1+$K$36)-$L$36)</f>
        <v/>
      </c>
      <c r="JQ87">
        <f>JQ86-MIN(JQ86,JP87)</f>
        <v/>
      </c>
      <c r="JR87">
        <f>JP87-(JQ86-JQ87)</f>
        <v/>
      </c>
      <c r="JS87">
        <f>MAX(0,JR87*(1+$K$36)-$L$36)</f>
        <v/>
      </c>
      <c r="JT87">
        <f>JT86-MIN(JT86,JS87)</f>
        <v/>
      </c>
      <c r="JU87">
        <f>JS87-(JT86-JT87)</f>
        <v/>
      </c>
      <c r="JV87">
        <f>MAX(0,JU87*(1+$K$36)-$L$36)</f>
        <v/>
      </c>
      <c r="JW87">
        <f>JW86-MIN(JW86,JV87)</f>
        <v/>
      </c>
      <c r="JX87">
        <f>JV87-(JW86-JW87)</f>
        <v/>
      </c>
      <c r="JY87">
        <f>MAX(0,JX87*(1+$K$36)-$L$36)</f>
        <v/>
      </c>
      <c r="JZ87">
        <f>JZ86-MIN(JZ86,JY87)</f>
        <v/>
      </c>
      <c r="KA87">
        <f>JY87-(JZ86-JZ87)</f>
        <v/>
      </c>
      <c r="KB87">
        <f>MAX(0,KA87*(1+$K$36)-$L$36)</f>
        <v/>
      </c>
      <c r="KC87">
        <f>KC86-MIN(KC86,KB87)</f>
        <v/>
      </c>
      <c r="KD87">
        <f>KB87-(KC86-KC87)</f>
        <v/>
      </c>
      <c r="KE87">
        <f>MAX(0,KD87*(1+$K$36)-$L$36)</f>
        <v/>
      </c>
      <c r="KF87">
        <f>KF86-MIN(KF86,KE87)</f>
        <v/>
      </c>
      <c r="KG87">
        <f>KE87-(KF86-KF87)</f>
        <v/>
      </c>
      <c r="KH87">
        <f>MAX(0,KG87*(1+$K$36)-$L$36)</f>
        <v/>
      </c>
      <c r="KI87">
        <f>KI86-MIN(KI86,KH87)</f>
        <v/>
      </c>
      <c r="KJ87">
        <f>KH87-(KI86-KI87)</f>
        <v/>
      </c>
      <c r="KK87">
        <f>MAX(0,KJ87*(1+$K$36)-$L$36)</f>
        <v/>
      </c>
      <c r="KL87">
        <f>KL86-MIN(KL86,KK87)</f>
        <v/>
      </c>
      <c r="KM87">
        <f>KK87-(KL86-KL87)</f>
        <v/>
      </c>
      <c r="KN87">
        <f>MAX(0,KM87*(1+$K$36)-$L$36)</f>
        <v/>
      </c>
      <c r="KO87">
        <f>KO86-MIN(KO86,KN87)</f>
        <v/>
      </c>
      <c r="KP87">
        <f>KN87-(KO86-KO87)</f>
        <v/>
      </c>
      <c r="KQ87">
        <f>MAX(0,KP87*(1+$K$36)-$L$36)</f>
        <v/>
      </c>
      <c r="KR87">
        <f>KR86-MIN(KR86,KQ87)</f>
        <v/>
      </c>
      <c r="KS87">
        <f>KQ87-(KR86-KR87)</f>
        <v/>
      </c>
      <c r="KT87">
        <f>MAX(0,KS87*(1+$K$36)-$L$36)</f>
        <v/>
      </c>
      <c r="KU87">
        <f>KU86-MIN(KU86,KT87)</f>
        <v/>
      </c>
      <c r="KV87">
        <f>KT87-(KU86-KU87)</f>
        <v/>
      </c>
      <c r="KW87">
        <f>MAX(0,KV87*(1+$K$36)-$L$36)</f>
        <v/>
      </c>
      <c r="KX87">
        <f>KX86-MIN(KX86,KW87)</f>
        <v/>
      </c>
      <c r="KY87">
        <f>KW87-(KX86-KX87)</f>
        <v/>
      </c>
      <c r="KZ87">
        <f>MAX(0,KY87*(1+$K$36)-$L$36)</f>
        <v/>
      </c>
      <c r="LA87">
        <f>LA86-MIN(LA86,KZ87)</f>
        <v/>
      </c>
      <c r="LB87">
        <f>KZ87-(LA86-LA87)</f>
        <v/>
      </c>
      <c r="LC87">
        <f>MAX(0,LB87*(1+$K$36)-$L$36)</f>
        <v/>
      </c>
      <c r="LD87">
        <f>LD86-MIN(LD86,LC87)</f>
        <v/>
      </c>
      <c r="LE87">
        <f>LC87-(LD86-LD87)</f>
        <v/>
      </c>
      <c r="LF87">
        <f>MAX(0,LE87*(1+$K$36)-$L$36)</f>
        <v/>
      </c>
      <c r="LG87">
        <f>LG86-MIN(LG86,LF87)</f>
        <v/>
      </c>
      <c r="LH87">
        <f>LF87-(LG86-LG87)</f>
        <v/>
      </c>
      <c r="LI87">
        <f>MAX(0,LH87*(1+$K$36)-$L$36)</f>
        <v/>
      </c>
      <c r="LJ87">
        <f>LJ86-MIN(LJ86,LI87)</f>
        <v/>
      </c>
      <c r="LK87">
        <f>LI87-(LJ86-LJ87)</f>
        <v/>
      </c>
      <c r="LL87">
        <f>MAX(0,LK87*(1+$K$36)-$L$36)</f>
        <v/>
      </c>
      <c r="LM87">
        <f>LM86-MIN(LM86,LL87)</f>
        <v/>
      </c>
      <c r="LN87">
        <f>LL87-(LM86-LM87)</f>
        <v/>
      </c>
      <c r="LO87">
        <f>MAX(0,LN87*(1+$K$36)-$L$36)</f>
        <v/>
      </c>
      <c r="LP87">
        <f>LP86-MIN(LP86,LO87)</f>
        <v/>
      </c>
      <c r="LQ87">
        <f>LO87-(LP86-LP87)</f>
        <v/>
      </c>
      <c r="LR87">
        <f>MAX(0,LQ87*(1+$K$36)-$L$36)</f>
        <v/>
      </c>
      <c r="LS87">
        <f>LS86-MIN(LS86,LR87)</f>
        <v/>
      </c>
      <c r="LT87">
        <f>LR87-(LS86-LS87)</f>
        <v/>
      </c>
      <c r="LU87">
        <f>MAX(0,LT87*(1+$K$36)-$L$36)</f>
        <v/>
      </c>
      <c r="LV87">
        <f>LV86-MIN(LV86,LU87)</f>
        <v/>
      </c>
      <c r="LW87">
        <f>LU87-(LV86-LV87)</f>
        <v/>
      </c>
      <c r="LX87">
        <f>MAX(0,LW87*(1+$K$36)-$L$36)</f>
        <v/>
      </c>
      <c r="LY87">
        <f>LY86-MIN(LY86,LX87)</f>
        <v/>
      </c>
      <c r="LZ87">
        <f>LX87-(LY86-LY87)</f>
        <v/>
      </c>
      <c r="MA87">
        <f>MAX(0,LZ87*(1+$K$36)-$L$36)</f>
        <v/>
      </c>
      <c r="MB87">
        <f>MB86-MIN(MB86,MA87)</f>
        <v/>
      </c>
      <c r="MC87">
        <f>MA87-(MB86-MB87)</f>
        <v/>
      </c>
      <c r="MD87">
        <f>MAX(0,MC87*(1+$K$36)-$L$36)</f>
        <v/>
      </c>
      <c r="ME87">
        <f>ME86-MIN(ME86,MD87)</f>
        <v/>
      </c>
      <c r="MF87">
        <f>MD87-(ME86-ME87)</f>
        <v/>
      </c>
      <c r="MG87">
        <f>MAX(0,MF87*(1+$K$36)-$L$36)</f>
        <v/>
      </c>
      <c r="MH87">
        <f>MH86-MIN(MH86,MG87)</f>
        <v/>
      </c>
      <c r="MI87">
        <f>MG87-(MH86-MH87)</f>
        <v/>
      </c>
      <c r="MJ87">
        <f>MAX(0,MI87*(1+$K$36)-$L$36)</f>
        <v/>
      </c>
      <c r="MK87">
        <f>MK86-MIN(MK86,MJ87)</f>
        <v/>
      </c>
      <c r="ML87">
        <f>MJ87-(MK86-MK87)</f>
        <v/>
      </c>
      <c r="MM87">
        <f>MAX(0,ML87*(1+$K$36)-$L$36)</f>
        <v/>
      </c>
      <c r="MN87">
        <f>MN86-MIN(MN86,MM87)</f>
        <v/>
      </c>
      <c r="MO87">
        <f>MM87-(MN86-MN87)</f>
        <v/>
      </c>
      <c r="MP87">
        <f>MAX(0,MO87*(1+$K$36)-$L$36)</f>
        <v/>
      </c>
      <c r="MQ87">
        <f>MQ86-MIN(MQ86,MP87)</f>
        <v/>
      </c>
      <c r="MR87">
        <f>MP87-(MQ86-MQ87)</f>
        <v/>
      </c>
      <c r="MS87">
        <f>MAX(0,MR87*(1+$K$36)-$L$36)</f>
        <v/>
      </c>
      <c r="MT87">
        <f>MT86-MIN(MT86,MS87)</f>
        <v/>
      </c>
      <c r="MU87">
        <f>MS87-(MT86-MT87)</f>
        <v/>
      </c>
      <c r="MV87">
        <f>MAX(0,MU87*(1+$K$36)-$L$36)</f>
        <v/>
      </c>
      <c r="MW87">
        <f>MW86-MIN(MW86,MV87)</f>
        <v/>
      </c>
      <c r="MX87">
        <f>MV87-(MW86-MW87)</f>
        <v/>
      </c>
    </row>
    <row r="88">
      <c r="A88" t="inlineStr">
        <is>
          <t>slot 14</t>
        </is>
      </c>
      <c r="B88">
        <f>J37</f>
        <v/>
      </c>
      <c r="C88">
        <f>MAX(0,B88*(1+$K$37)-$L$37)</f>
        <v/>
      </c>
      <c r="D88">
        <f>D87-MIN(D87,C88)</f>
        <v/>
      </c>
      <c r="E88">
        <f>C88-(D87-D88)</f>
        <v/>
      </c>
      <c r="F88">
        <f>MAX(0,E88*(1+$K$37)-$L$37)</f>
        <v/>
      </c>
      <c r="G88">
        <f>G87-MIN(G87,F88)</f>
        <v/>
      </c>
      <c r="H88">
        <f>F88-(G87-G88)</f>
        <v/>
      </c>
      <c r="I88">
        <f>MAX(0,H88*(1+$K$37)-$L$37)</f>
        <v/>
      </c>
      <c r="J88">
        <f>J87-MIN(J87,I88)</f>
        <v/>
      </c>
      <c r="K88">
        <f>I88-(J87-J88)</f>
        <v/>
      </c>
      <c r="L88">
        <f>MAX(0,K88*(1+$K$37)-$L$37)</f>
        <v/>
      </c>
      <c r="M88">
        <f>M87-MIN(M87,L88)</f>
        <v/>
      </c>
      <c r="N88">
        <f>L88-(M87-M88)</f>
        <v/>
      </c>
      <c r="O88">
        <f>MAX(0,N88*(1+$K$37)-$L$37)</f>
        <v/>
      </c>
      <c r="P88">
        <f>P87-MIN(P87,O88)</f>
        <v/>
      </c>
      <c r="Q88">
        <f>O88-(P87-P88)</f>
        <v/>
      </c>
      <c r="R88">
        <f>MAX(0,Q88*(1+$K$37)-$L$37)</f>
        <v/>
      </c>
      <c r="S88">
        <f>S87-MIN(S87,R88)</f>
        <v/>
      </c>
      <c r="T88">
        <f>R88-(S87-S88)</f>
        <v/>
      </c>
      <c r="U88">
        <f>MAX(0,T88*(1+$K$37)-$L$37)</f>
        <v/>
      </c>
      <c r="V88">
        <f>V87-MIN(V87,U88)</f>
        <v/>
      </c>
      <c r="W88">
        <f>U88-(V87-V88)</f>
        <v/>
      </c>
      <c r="X88">
        <f>MAX(0,W88*(1+$K$37)-$L$37)</f>
        <v/>
      </c>
      <c r="Y88">
        <f>Y87-MIN(Y87,X88)</f>
        <v/>
      </c>
      <c r="Z88">
        <f>X88-(Y87-Y88)</f>
        <v/>
      </c>
      <c r="AA88">
        <f>MAX(0,Z88*(1+$K$37)-$L$37)</f>
        <v/>
      </c>
      <c r="AB88">
        <f>AB87-MIN(AB87,AA88)</f>
        <v/>
      </c>
      <c r="AC88">
        <f>AA88-(AB87-AB88)</f>
        <v/>
      </c>
      <c r="AD88">
        <f>MAX(0,AC88*(1+$K$37)-$L$37)</f>
        <v/>
      </c>
      <c r="AE88">
        <f>AE87-MIN(AE87,AD88)</f>
        <v/>
      </c>
      <c r="AF88">
        <f>AD88-(AE87-AE88)</f>
        <v/>
      </c>
      <c r="AG88">
        <f>MAX(0,AF88*(1+$K$37)-$L$37)</f>
        <v/>
      </c>
      <c r="AH88">
        <f>AH87-MIN(AH87,AG88)</f>
        <v/>
      </c>
      <c r="AI88">
        <f>AG88-(AH87-AH88)</f>
        <v/>
      </c>
      <c r="AJ88">
        <f>MAX(0,AI88*(1+$K$37)-$L$37)</f>
        <v/>
      </c>
      <c r="AK88">
        <f>AK87-MIN(AK87,AJ88)</f>
        <v/>
      </c>
      <c r="AL88">
        <f>AJ88-(AK87-AK88)</f>
        <v/>
      </c>
      <c r="AM88">
        <f>MAX(0,AL88*(1+$K$37)-$L$37)</f>
        <v/>
      </c>
      <c r="AN88">
        <f>AN87-MIN(AN87,AM88)</f>
        <v/>
      </c>
      <c r="AO88">
        <f>AM88-(AN87-AN88)</f>
        <v/>
      </c>
      <c r="AP88">
        <f>MAX(0,AO88*(1+$K$37)-$L$37)</f>
        <v/>
      </c>
      <c r="AQ88">
        <f>AQ87-MIN(AQ87,AP88)</f>
        <v/>
      </c>
      <c r="AR88">
        <f>AP88-(AQ87-AQ88)</f>
        <v/>
      </c>
      <c r="AS88">
        <f>MAX(0,AR88*(1+$K$37)-$L$37)</f>
        <v/>
      </c>
      <c r="AT88">
        <f>AT87-MIN(AT87,AS88)</f>
        <v/>
      </c>
      <c r="AU88">
        <f>AS88-(AT87-AT88)</f>
        <v/>
      </c>
      <c r="AV88">
        <f>MAX(0,AU88*(1+$K$37)-$L$37)</f>
        <v/>
      </c>
      <c r="AW88">
        <f>AW87-MIN(AW87,AV88)</f>
        <v/>
      </c>
      <c r="AX88">
        <f>AV88-(AW87-AW88)</f>
        <v/>
      </c>
      <c r="AY88">
        <f>MAX(0,AX88*(1+$K$37)-$L$37)</f>
        <v/>
      </c>
      <c r="AZ88">
        <f>AZ87-MIN(AZ87,AY88)</f>
        <v/>
      </c>
      <c r="BA88">
        <f>AY88-(AZ87-AZ88)</f>
        <v/>
      </c>
      <c r="BB88">
        <f>MAX(0,BA88*(1+$K$37)-$L$37)</f>
        <v/>
      </c>
      <c r="BC88">
        <f>BC87-MIN(BC87,BB88)</f>
        <v/>
      </c>
      <c r="BD88">
        <f>BB88-(BC87-BC88)</f>
        <v/>
      </c>
      <c r="BE88">
        <f>MAX(0,BD88*(1+$K$37)-$L$37)</f>
        <v/>
      </c>
      <c r="BF88">
        <f>BF87-MIN(BF87,BE88)</f>
        <v/>
      </c>
      <c r="BG88">
        <f>BE88-(BF87-BF88)</f>
        <v/>
      </c>
      <c r="BH88">
        <f>MAX(0,BG88*(1+$K$37)-$L$37)</f>
        <v/>
      </c>
      <c r="BI88">
        <f>BI87-MIN(BI87,BH88)</f>
        <v/>
      </c>
      <c r="BJ88">
        <f>BH88-(BI87-BI88)</f>
        <v/>
      </c>
      <c r="BK88">
        <f>MAX(0,BJ88*(1+$K$37)-$L$37)</f>
        <v/>
      </c>
      <c r="BL88">
        <f>BL87-MIN(BL87,BK88)</f>
        <v/>
      </c>
      <c r="BM88">
        <f>BK88-(BL87-BL88)</f>
        <v/>
      </c>
      <c r="BN88">
        <f>MAX(0,BM88*(1+$K$37)-$L$37)</f>
        <v/>
      </c>
      <c r="BO88">
        <f>BO87-MIN(BO87,BN88)</f>
        <v/>
      </c>
      <c r="BP88">
        <f>BN88-(BO87-BO88)</f>
        <v/>
      </c>
      <c r="BQ88">
        <f>MAX(0,BP88*(1+$K$37)-$L$37)</f>
        <v/>
      </c>
      <c r="BR88">
        <f>BR87-MIN(BR87,BQ88)</f>
        <v/>
      </c>
      <c r="BS88">
        <f>BQ88-(BR87-BR88)</f>
        <v/>
      </c>
      <c r="BT88">
        <f>MAX(0,BS88*(1+$K$37)-$L$37)</f>
        <v/>
      </c>
      <c r="BU88">
        <f>BU87-MIN(BU87,BT88)</f>
        <v/>
      </c>
      <c r="BV88">
        <f>BT88-(BU87-BU88)</f>
        <v/>
      </c>
      <c r="BW88">
        <f>MAX(0,BV88*(1+$K$37)-$L$37)</f>
        <v/>
      </c>
      <c r="BX88">
        <f>BX87-MIN(BX87,BW88)</f>
        <v/>
      </c>
      <c r="BY88">
        <f>BW88-(BX87-BX88)</f>
        <v/>
      </c>
      <c r="BZ88">
        <f>MAX(0,BY88*(1+$K$37)-$L$37)</f>
        <v/>
      </c>
      <c r="CA88">
        <f>CA87-MIN(CA87,BZ88)</f>
        <v/>
      </c>
      <c r="CB88">
        <f>BZ88-(CA87-CA88)</f>
        <v/>
      </c>
      <c r="CC88">
        <f>MAX(0,CB88*(1+$K$37)-$L$37)</f>
        <v/>
      </c>
      <c r="CD88">
        <f>CD87-MIN(CD87,CC88)</f>
        <v/>
      </c>
      <c r="CE88">
        <f>CC88-(CD87-CD88)</f>
        <v/>
      </c>
      <c r="CF88">
        <f>MAX(0,CE88*(1+$K$37)-$L$37)</f>
        <v/>
      </c>
      <c r="CG88">
        <f>CG87-MIN(CG87,CF88)</f>
        <v/>
      </c>
      <c r="CH88">
        <f>CF88-(CG87-CG88)</f>
        <v/>
      </c>
      <c r="CI88">
        <f>MAX(0,CH88*(1+$K$37)-$L$37)</f>
        <v/>
      </c>
      <c r="CJ88">
        <f>CJ87-MIN(CJ87,CI88)</f>
        <v/>
      </c>
      <c r="CK88">
        <f>CI88-(CJ87-CJ88)</f>
        <v/>
      </c>
      <c r="CL88">
        <f>MAX(0,CK88*(1+$K$37)-$L$37)</f>
        <v/>
      </c>
      <c r="CM88">
        <f>CM87-MIN(CM87,CL88)</f>
        <v/>
      </c>
      <c r="CN88">
        <f>CL88-(CM87-CM88)</f>
        <v/>
      </c>
      <c r="CO88">
        <f>MAX(0,CN88*(1+$K$37)-$L$37)</f>
        <v/>
      </c>
      <c r="CP88">
        <f>CP87-MIN(CP87,CO88)</f>
        <v/>
      </c>
      <c r="CQ88">
        <f>CO88-(CP87-CP88)</f>
        <v/>
      </c>
      <c r="CR88">
        <f>MAX(0,CQ88*(1+$K$37)-$L$37)</f>
        <v/>
      </c>
      <c r="CS88">
        <f>CS87-MIN(CS87,CR88)</f>
        <v/>
      </c>
      <c r="CT88">
        <f>CR88-(CS87-CS88)</f>
        <v/>
      </c>
      <c r="CU88">
        <f>MAX(0,CT88*(1+$K$37)-$L$37)</f>
        <v/>
      </c>
      <c r="CV88">
        <f>CV87-MIN(CV87,CU88)</f>
        <v/>
      </c>
      <c r="CW88">
        <f>CU88-(CV87-CV88)</f>
        <v/>
      </c>
      <c r="CX88">
        <f>MAX(0,CW88*(1+$K$37)-$L$37)</f>
        <v/>
      </c>
      <c r="CY88">
        <f>CY87-MIN(CY87,CX88)</f>
        <v/>
      </c>
      <c r="CZ88">
        <f>CX88-(CY87-CY88)</f>
        <v/>
      </c>
      <c r="DA88">
        <f>MAX(0,CZ88*(1+$K$37)-$L$37)</f>
        <v/>
      </c>
      <c r="DB88">
        <f>DB87-MIN(DB87,DA88)</f>
        <v/>
      </c>
      <c r="DC88">
        <f>DA88-(DB87-DB88)</f>
        <v/>
      </c>
      <c r="DD88">
        <f>MAX(0,DC88*(1+$K$37)-$L$37)</f>
        <v/>
      </c>
      <c r="DE88">
        <f>DE87-MIN(DE87,DD88)</f>
        <v/>
      </c>
      <c r="DF88">
        <f>DD88-(DE87-DE88)</f>
        <v/>
      </c>
      <c r="DG88">
        <f>MAX(0,DF88*(1+$K$37)-$L$37)</f>
        <v/>
      </c>
      <c r="DH88">
        <f>DH87-MIN(DH87,DG88)</f>
        <v/>
      </c>
      <c r="DI88">
        <f>DG88-(DH87-DH88)</f>
        <v/>
      </c>
      <c r="DJ88">
        <f>MAX(0,DI88*(1+$K$37)-$L$37)</f>
        <v/>
      </c>
      <c r="DK88">
        <f>DK87-MIN(DK87,DJ88)</f>
        <v/>
      </c>
      <c r="DL88">
        <f>DJ88-(DK87-DK88)</f>
        <v/>
      </c>
      <c r="DM88">
        <f>MAX(0,DL88*(1+$K$37)-$L$37)</f>
        <v/>
      </c>
      <c r="DN88">
        <f>DN87-MIN(DN87,DM88)</f>
        <v/>
      </c>
      <c r="DO88">
        <f>DM88-(DN87-DN88)</f>
        <v/>
      </c>
      <c r="DP88">
        <f>MAX(0,DO88*(1+$K$37)-$L$37)</f>
        <v/>
      </c>
      <c r="DQ88">
        <f>DQ87-MIN(DQ87,DP88)</f>
        <v/>
      </c>
      <c r="DR88">
        <f>DP88-(DQ87-DQ88)</f>
        <v/>
      </c>
      <c r="DS88">
        <f>MAX(0,DR88*(1+$K$37)-$L$37)</f>
        <v/>
      </c>
      <c r="DT88">
        <f>DT87-MIN(DT87,DS88)</f>
        <v/>
      </c>
      <c r="DU88">
        <f>DS88-(DT87-DT88)</f>
        <v/>
      </c>
      <c r="DV88">
        <f>MAX(0,DU88*(1+$K$37)-$L$37)</f>
        <v/>
      </c>
      <c r="DW88">
        <f>DW87-MIN(DW87,DV88)</f>
        <v/>
      </c>
      <c r="DX88">
        <f>DV88-(DW87-DW88)</f>
        <v/>
      </c>
      <c r="DY88">
        <f>MAX(0,DX88*(1+$K$37)-$L$37)</f>
        <v/>
      </c>
      <c r="DZ88">
        <f>DZ87-MIN(DZ87,DY88)</f>
        <v/>
      </c>
      <c r="EA88">
        <f>DY88-(DZ87-DZ88)</f>
        <v/>
      </c>
      <c r="EB88">
        <f>MAX(0,EA88*(1+$K$37)-$L$37)</f>
        <v/>
      </c>
      <c r="EC88">
        <f>EC87-MIN(EC87,EB88)</f>
        <v/>
      </c>
      <c r="ED88">
        <f>EB88-(EC87-EC88)</f>
        <v/>
      </c>
      <c r="EE88">
        <f>MAX(0,ED88*(1+$K$37)-$L$37)</f>
        <v/>
      </c>
      <c r="EF88">
        <f>EF87-MIN(EF87,EE88)</f>
        <v/>
      </c>
      <c r="EG88">
        <f>EE88-(EF87-EF88)</f>
        <v/>
      </c>
      <c r="EH88">
        <f>MAX(0,EG88*(1+$K$37)-$L$37)</f>
        <v/>
      </c>
      <c r="EI88">
        <f>EI87-MIN(EI87,EH88)</f>
        <v/>
      </c>
      <c r="EJ88">
        <f>EH88-(EI87-EI88)</f>
        <v/>
      </c>
      <c r="EK88">
        <f>MAX(0,EJ88*(1+$K$37)-$L$37)</f>
        <v/>
      </c>
      <c r="EL88">
        <f>EL87-MIN(EL87,EK88)</f>
        <v/>
      </c>
      <c r="EM88">
        <f>EK88-(EL87-EL88)</f>
        <v/>
      </c>
      <c r="EN88">
        <f>MAX(0,EM88*(1+$K$37)-$L$37)</f>
        <v/>
      </c>
      <c r="EO88">
        <f>EO87-MIN(EO87,EN88)</f>
        <v/>
      </c>
      <c r="EP88">
        <f>EN88-(EO87-EO88)</f>
        <v/>
      </c>
      <c r="EQ88">
        <f>MAX(0,EP88*(1+$K$37)-$L$37)</f>
        <v/>
      </c>
      <c r="ER88">
        <f>ER87-MIN(ER87,EQ88)</f>
        <v/>
      </c>
      <c r="ES88">
        <f>EQ88-(ER87-ER88)</f>
        <v/>
      </c>
      <c r="ET88">
        <f>MAX(0,ES88*(1+$K$37)-$L$37)</f>
        <v/>
      </c>
      <c r="EU88">
        <f>EU87-MIN(EU87,ET88)</f>
        <v/>
      </c>
      <c r="EV88">
        <f>ET88-(EU87-EU88)</f>
        <v/>
      </c>
      <c r="EW88">
        <f>MAX(0,EV88*(1+$K$37)-$L$37)</f>
        <v/>
      </c>
      <c r="EX88">
        <f>EX87-MIN(EX87,EW88)</f>
        <v/>
      </c>
      <c r="EY88">
        <f>EW88-(EX87-EX88)</f>
        <v/>
      </c>
      <c r="EZ88">
        <f>MAX(0,EY88*(1+$K$37)-$L$37)</f>
        <v/>
      </c>
      <c r="FA88">
        <f>FA87-MIN(FA87,EZ88)</f>
        <v/>
      </c>
      <c r="FB88">
        <f>EZ88-(FA87-FA88)</f>
        <v/>
      </c>
      <c r="FC88">
        <f>MAX(0,FB88*(1+$K$37)-$L$37)</f>
        <v/>
      </c>
      <c r="FD88">
        <f>FD87-MIN(FD87,FC88)</f>
        <v/>
      </c>
      <c r="FE88">
        <f>FC88-(FD87-FD88)</f>
        <v/>
      </c>
      <c r="FF88">
        <f>MAX(0,FE88*(1+$K$37)-$L$37)</f>
        <v/>
      </c>
      <c r="FG88">
        <f>FG87-MIN(FG87,FF88)</f>
        <v/>
      </c>
      <c r="FH88">
        <f>FF88-(FG87-FG88)</f>
        <v/>
      </c>
      <c r="FI88">
        <f>MAX(0,FH88*(1+$K$37)-$L$37)</f>
        <v/>
      </c>
      <c r="FJ88">
        <f>FJ87-MIN(FJ87,FI88)</f>
        <v/>
      </c>
      <c r="FK88">
        <f>FI88-(FJ87-FJ88)</f>
        <v/>
      </c>
      <c r="FL88">
        <f>MAX(0,FK88*(1+$K$37)-$L$37)</f>
        <v/>
      </c>
      <c r="FM88">
        <f>FM87-MIN(FM87,FL88)</f>
        <v/>
      </c>
      <c r="FN88">
        <f>FL88-(FM87-FM88)</f>
        <v/>
      </c>
      <c r="FO88">
        <f>MAX(0,FN88*(1+$K$37)-$L$37)</f>
        <v/>
      </c>
      <c r="FP88">
        <f>FP87-MIN(FP87,FO88)</f>
        <v/>
      </c>
      <c r="FQ88">
        <f>FO88-(FP87-FP88)</f>
        <v/>
      </c>
      <c r="FR88">
        <f>MAX(0,FQ88*(1+$K$37)-$L$37)</f>
        <v/>
      </c>
      <c r="FS88">
        <f>FS87-MIN(FS87,FR88)</f>
        <v/>
      </c>
      <c r="FT88">
        <f>FR88-(FS87-FS88)</f>
        <v/>
      </c>
      <c r="FU88">
        <f>MAX(0,FT88*(1+$K$37)-$L$37)</f>
        <v/>
      </c>
      <c r="FV88">
        <f>FV87-MIN(FV87,FU88)</f>
        <v/>
      </c>
      <c r="FW88">
        <f>FU88-(FV87-FV88)</f>
        <v/>
      </c>
      <c r="FX88">
        <f>MAX(0,FW88*(1+$K$37)-$L$37)</f>
        <v/>
      </c>
      <c r="FY88">
        <f>FY87-MIN(FY87,FX88)</f>
        <v/>
      </c>
      <c r="FZ88">
        <f>FX88-(FY87-FY88)</f>
        <v/>
      </c>
      <c r="GA88">
        <f>MAX(0,FZ88*(1+$K$37)-$L$37)</f>
        <v/>
      </c>
      <c r="GB88">
        <f>GB87-MIN(GB87,GA88)</f>
        <v/>
      </c>
      <c r="GC88">
        <f>GA88-(GB87-GB88)</f>
        <v/>
      </c>
      <c r="GD88">
        <f>MAX(0,GC88*(1+$K$37)-$L$37)</f>
        <v/>
      </c>
      <c r="GE88">
        <f>GE87-MIN(GE87,GD88)</f>
        <v/>
      </c>
      <c r="GF88">
        <f>GD88-(GE87-GE88)</f>
        <v/>
      </c>
      <c r="GG88">
        <f>MAX(0,GF88*(1+$K$37)-$L$37)</f>
        <v/>
      </c>
      <c r="GH88">
        <f>GH87-MIN(GH87,GG88)</f>
        <v/>
      </c>
      <c r="GI88">
        <f>GG88-(GH87-GH88)</f>
        <v/>
      </c>
      <c r="GJ88">
        <f>MAX(0,GI88*(1+$K$37)-$L$37)</f>
        <v/>
      </c>
      <c r="GK88">
        <f>GK87-MIN(GK87,GJ88)</f>
        <v/>
      </c>
      <c r="GL88">
        <f>GJ88-(GK87-GK88)</f>
        <v/>
      </c>
      <c r="GM88">
        <f>MAX(0,GL88*(1+$K$37)-$L$37)</f>
        <v/>
      </c>
      <c r="GN88">
        <f>GN87-MIN(GN87,GM88)</f>
        <v/>
      </c>
      <c r="GO88">
        <f>GM88-(GN87-GN88)</f>
        <v/>
      </c>
      <c r="GP88">
        <f>MAX(0,GO88*(1+$K$37)-$L$37)</f>
        <v/>
      </c>
      <c r="GQ88">
        <f>GQ87-MIN(GQ87,GP88)</f>
        <v/>
      </c>
      <c r="GR88">
        <f>GP88-(GQ87-GQ88)</f>
        <v/>
      </c>
      <c r="GS88">
        <f>MAX(0,GR88*(1+$K$37)-$L$37)</f>
        <v/>
      </c>
      <c r="GT88">
        <f>GT87-MIN(GT87,GS88)</f>
        <v/>
      </c>
      <c r="GU88">
        <f>GS88-(GT87-GT88)</f>
        <v/>
      </c>
      <c r="GV88">
        <f>MAX(0,GU88*(1+$K$37)-$L$37)</f>
        <v/>
      </c>
      <c r="GW88">
        <f>GW87-MIN(GW87,GV88)</f>
        <v/>
      </c>
      <c r="GX88">
        <f>GV88-(GW87-GW88)</f>
        <v/>
      </c>
      <c r="GY88">
        <f>MAX(0,GX88*(1+$K$37)-$L$37)</f>
        <v/>
      </c>
      <c r="GZ88">
        <f>GZ87-MIN(GZ87,GY88)</f>
        <v/>
      </c>
      <c r="HA88">
        <f>GY88-(GZ87-GZ88)</f>
        <v/>
      </c>
      <c r="HB88">
        <f>MAX(0,HA88*(1+$K$37)-$L$37)</f>
        <v/>
      </c>
      <c r="HC88">
        <f>HC87-MIN(HC87,HB88)</f>
        <v/>
      </c>
      <c r="HD88">
        <f>HB88-(HC87-HC88)</f>
        <v/>
      </c>
      <c r="HE88">
        <f>MAX(0,HD88*(1+$K$37)-$L$37)</f>
        <v/>
      </c>
      <c r="HF88">
        <f>HF87-MIN(HF87,HE88)</f>
        <v/>
      </c>
      <c r="HG88">
        <f>HE88-(HF87-HF88)</f>
        <v/>
      </c>
      <c r="HH88">
        <f>MAX(0,HG88*(1+$K$37)-$L$37)</f>
        <v/>
      </c>
      <c r="HI88">
        <f>HI87-MIN(HI87,HH88)</f>
        <v/>
      </c>
      <c r="HJ88">
        <f>HH88-(HI87-HI88)</f>
        <v/>
      </c>
      <c r="HK88">
        <f>MAX(0,HJ88*(1+$K$37)-$L$37)</f>
        <v/>
      </c>
      <c r="HL88">
        <f>HL87-MIN(HL87,HK88)</f>
        <v/>
      </c>
      <c r="HM88">
        <f>HK88-(HL87-HL88)</f>
        <v/>
      </c>
      <c r="HN88">
        <f>MAX(0,HM88*(1+$K$37)-$L$37)</f>
        <v/>
      </c>
      <c r="HO88">
        <f>HO87-MIN(HO87,HN88)</f>
        <v/>
      </c>
      <c r="HP88">
        <f>HN88-(HO87-HO88)</f>
        <v/>
      </c>
      <c r="HQ88">
        <f>MAX(0,HP88*(1+$K$37)-$L$37)</f>
        <v/>
      </c>
      <c r="HR88">
        <f>HR87-MIN(HR87,HQ88)</f>
        <v/>
      </c>
      <c r="HS88">
        <f>HQ88-(HR87-HR88)</f>
        <v/>
      </c>
      <c r="HT88">
        <f>MAX(0,HS88*(1+$K$37)-$L$37)</f>
        <v/>
      </c>
      <c r="HU88">
        <f>HU87-MIN(HU87,HT88)</f>
        <v/>
      </c>
      <c r="HV88">
        <f>HT88-(HU87-HU88)</f>
        <v/>
      </c>
      <c r="HW88">
        <f>MAX(0,HV88*(1+$K$37)-$L$37)</f>
        <v/>
      </c>
      <c r="HX88">
        <f>HX87-MIN(HX87,HW88)</f>
        <v/>
      </c>
      <c r="HY88">
        <f>HW88-(HX87-HX88)</f>
        <v/>
      </c>
      <c r="HZ88">
        <f>MAX(0,HY88*(1+$K$37)-$L$37)</f>
        <v/>
      </c>
      <c r="IA88">
        <f>IA87-MIN(IA87,HZ88)</f>
        <v/>
      </c>
      <c r="IB88">
        <f>HZ88-(IA87-IA88)</f>
        <v/>
      </c>
      <c r="IC88">
        <f>MAX(0,IB88*(1+$K$37)-$L$37)</f>
        <v/>
      </c>
      <c r="ID88">
        <f>ID87-MIN(ID87,IC88)</f>
        <v/>
      </c>
      <c r="IE88">
        <f>IC88-(ID87-ID88)</f>
        <v/>
      </c>
      <c r="IF88">
        <f>MAX(0,IE88*(1+$K$37)-$L$37)</f>
        <v/>
      </c>
      <c r="IG88">
        <f>IG87-MIN(IG87,IF88)</f>
        <v/>
      </c>
      <c r="IH88">
        <f>IF88-(IG87-IG88)</f>
        <v/>
      </c>
      <c r="II88">
        <f>MAX(0,IH88*(1+$K$37)-$L$37)</f>
        <v/>
      </c>
      <c r="IJ88">
        <f>IJ87-MIN(IJ87,II88)</f>
        <v/>
      </c>
      <c r="IK88">
        <f>II88-(IJ87-IJ88)</f>
        <v/>
      </c>
      <c r="IL88">
        <f>MAX(0,IK88*(1+$K$37)-$L$37)</f>
        <v/>
      </c>
      <c r="IM88">
        <f>IM87-MIN(IM87,IL88)</f>
        <v/>
      </c>
      <c r="IN88">
        <f>IL88-(IM87-IM88)</f>
        <v/>
      </c>
      <c r="IO88">
        <f>MAX(0,IN88*(1+$K$37)-$L$37)</f>
        <v/>
      </c>
      <c r="IP88">
        <f>IP87-MIN(IP87,IO88)</f>
        <v/>
      </c>
      <c r="IQ88">
        <f>IO88-(IP87-IP88)</f>
        <v/>
      </c>
      <c r="IR88">
        <f>MAX(0,IQ88*(1+$K$37)-$L$37)</f>
        <v/>
      </c>
      <c r="IS88">
        <f>IS87-MIN(IS87,IR88)</f>
        <v/>
      </c>
      <c r="IT88">
        <f>IR88-(IS87-IS88)</f>
        <v/>
      </c>
      <c r="IU88">
        <f>MAX(0,IT88*(1+$K$37)-$L$37)</f>
        <v/>
      </c>
      <c r="IV88">
        <f>IV87-MIN(IV87,IU88)</f>
        <v/>
      </c>
      <c r="IW88">
        <f>IU88-(IV87-IV88)</f>
        <v/>
      </c>
      <c r="IX88">
        <f>MAX(0,IW88*(1+$K$37)-$L$37)</f>
        <v/>
      </c>
      <c r="IY88">
        <f>IY87-MIN(IY87,IX88)</f>
        <v/>
      </c>
      <c r="IZ88">
        <f>IX88-(IY87-IY88)</f>
        <v/>
      </c>
      <c r="JA88">
        <f>MAX(0,IZ88*(1+$K$37)-$L$37)</f>
        <v/>
      </c>
      <c r="JB88">
        <f>JB87-MIN(JB87,JA88)</f>
        <v/>
      </c>
      <c r="JC88">
        <f>JA88-(JB87-JB88)</f>
        <v/>
      </c>
      <c r="JD88">
        <f>MAX(0,JC88*(1+$K$37)-$L$37)</f>
        <v/>
      </c>
      <c r="JE88">
        <f>JE87-MIN(JE87,JD88)</f>
        <v/>
      </c>
      <c r="JF88">
        <f>JD88-(JE87-JE88)</f>
        <v/>
      </c>
      <c r="JG88">
        <f>MAX(0,JF88*(1+$K$37)-$L$37)</f>
        <v/>
      </c>
      <c r="JH88">
        <f>JH87-MIN(JH87,JG88)</f>
        <v/>
      </c>
      <c r="JI88">
        <f>JG88-(JH87-JH88)</f>
        <v/>
      </c>
      <c r="JJ88">
        <f>MAX(0,JI88*(1+$K$37)-$L$37)</f>
        <v/>
      </c>
      <c r="JK88">
        <f>JK87-MIN(JK87,JJ88)</f>
        <v/>
      </c>
      <c r="JL88">
        <f>JJ88-(JK87-JK88)</f>
        <v/>
      </c>
      <c r="JM88">
        <f>MAX(0,JL88*(1+$K$37)-$L$37)</f>
        <v/>
      </c>
      <c r="JN88">
        <f>JN87-MIN(JN87,JM88)</f>
        <v/>
      </c>
      <c r="JO88">
        <f>JM88-(JN87-JN88)</f>
        <v/>
      </c>
      <c r="JP88">
        <f>MAX(0,JO88*(1+$K$37)-$L$37)</f>
        <v/>
      </c>
      <c r="JQ88">
        <f>JQ87-MIN(JQ87,JP88)</f>
        <v/>
      </c>
      <c r="JR88">
        <f>JP88-(JQ87-JQ88)</f>
        <v/>
      </c>
      <c r="JS88">
        <f>MAX(0,JR88*(1+$K$37)-$L$37)</f>
        <v/>
      </c>
      <c r="JT88">
        <f>JT87-MIN(JT87,JS88)</f>
        <v/>
      </c>
      <c r="JU88">
        <f>JS88-(JT87-JT88)</f>
        <v/>
      </c>
      <c r="JV88">
        <f>MAX(0,JU88*(1+$K$37)-$L$37)</f>
        <v/>
      </c>
      <c r="JW88">
        <f>JW87-MIN(JW87,JV88)</f>
        <v/>
      </c>
      <c r="JX88">
        <f>JV88-(JW87-JW88)</f>
        <v/>
      </c>
      <c r="JY88">
        <f>MAX(0,JX88*(1+$K$37)-$L$37)</f>
        <v/>
      </c>
      <c r="JZ88">
        <f>JZ87-MIN(JZ87,JY88)</f>
        <v/>
      </c>
      <c r="KA88">
        <f>JY88-(JZ87-JZ88)</f>
        <v/>
      </c>
      <c r="KB88">
        <f>MAX(0,KA88*(1+$K$37)-$L$37)</f>
        <v/>
      </c>
      <c r="KC88">
        <f>KC87-MIN(KC87,KB88)</f>
        <v/>
      </c>
      <c r="KD88">
        <f>KB88-(KC87-KC88)</f>
        <v/>
      </c>
      <c r="KE88">
        <f>MAX(0,KD88*(1+$K$37)-$L$37)</f>
        <v/>
      </c>
      <c r="KF88">
        <f>KF87-MIN(KF87,KE88)</f>
        <v/>
      </c>
      <c r="KG88">
        <f>KE88-(KF87-KF88)</f>
        <v/>
      </c>
      <c r="KH88">
        <f>MAX(0,KG88*(1+$K$37)-$L$37)</f>
        <v/>
      </c>
      <c r="KI88">
        <f>KI87-MIN(KI87,KH88)</f>
        <v/>
      </c>
      <c r="KJ88">
        <f>KH88-(KI87-KI88)</f>
        <v/>
      </c>
      <c r="KK88">
        <f>MAX(0,KJ88*(1+$K$37)-$L$37)</f>
        <v/>
      </c>
      <c r="KL88">
        <f>KL87-MIN(KL87,KK88)</f>
        <v/>
      </c>
      <c r="KM88">
        <f>KK88-(KL87-KL88)</f>
        <v/>
      </c>
      <c r="KN88">
        <f>MAX(0,KM88*(1+$K$37)-$L$37)</f>
        <v/>
      </c>
      <c r="KO88">
        <f>KO87-MIN(KO87,KN88)</f>
        <v/>
      </c>
      <c r="KP88">
        <f>KN88-(KO87-KO88)</f>
        <v/>
      </c>
      <c r="KQ88">
        <f>MAX(0,KP88*(1+$K$37)-$L$37)</f>
        <v/>
      </c>
      <c r="KR88">
        <f>KR87-MIN(KR87,KQ88)</f>
        <v/>
      </c>
      <c r="KS88">
        <f>KQ88-(KR87-KR88)</f>
        <v/>
      </c>
      <c r="KT88">
        <f>MAX(0,KS88*(1+$K$37)-$L$37)</f>
        <v/>
      </c>
      <c r="KU88">
        <f>KU87-MIN(KU87,KT88)</f>
        <v/>
      </c>
      <c r="KV88">
        <f>KT88-(KU87-KU88)</f>
        <v/>
      </c>
      <c r="KW88">
        <f>MAX(0,KV88*(1+$K$37)-$L$37)</f>
        <v/>
      </c>
      <c r="KX88">
        <f>KX87-MIN(KX87,KW88)</f>
        <v/>
      </c>
      <c r="KY88">
        <f>KW88-(KX87-KX88)</f>
        <v/>
      </c>
      <c r="KZ88">
        <f>MAX(0,KY88*(1+$K$37)-$L$37)</f>
        <v/>
      </c>
      <c r="LA88">
        <f>LA87-MIN(LA87,KZ88)</f>
        <v/>
      </c>
      <c r="LB88">
        <f>KZ88-(LA87-LA88)</f>
        <v/>
      </c>
      <c r="LC88">
        <f>MAX(0,LB88*(1+$K$37)-$L$37)</f>
        <v/>
      </c>
      <c r="LD88">
        <f>LD87-MIN(LD87,LC88)</f>
        <v/>
      </c>
      <c r="LE88">
        <f>LC88-(LD87-LD88)</f>
        <v/>
      </c>
      <c r="LF88">
        <f>MAX(0,LE88*(1+$K$37)-$L$37)</f>
        <v/>
      </c>
      <c r="LG88">
        <f>LG87-MIN(LG87,LF88)</f>
        <v/>
      </c>
      <c r="LH88">
        <f>LF88-(LG87-LG88)</f>
        <v/>
      </c>
      <c r="LI88">
        <f>MAX(0,LH88*(1+$K$37)-$L$37)</f>
        <v/>
      </c>
      <c r="LJ88">
        <f>LJ87-MIN(LJ87,LI88)</f>
        <v/>
      </c>
      <c r="LK88">
        <f>LI88-(LJ87-LJ88)</f>
        <v/>
      </c>
      <c r="LL88">
        <f>MAX(0,LK88*(1+$K$37)-$L$37)</f>
        <v/>
      </c>
      <c r="LM88">
        <f>LM87-MIN(LM87,LL88)</f>
        <v/>
      </c>
      <c r="LN88">
        <f>LL88-(LM87-LM88)</f>
        <v/>
      </c>
      <c r="LO88">
        <f>MAX(0,LN88*(1+$K$37)-$L$37)</f>
        <v/>
      </c>
      <c r="LP88">
        <f>LP87-MIN(LP87,LO88)</f>
        <v/>
      </c>
      <c r="LQ88">
        <f>LO88-(LP87-LP88)</f>
        <v/>
      </c>
      <c r="LR88">
        <f>MAX(0,LQ88*(1+$K$37)-$L$37)</f>
        <v/>
      </c>
      <c r="LS88">
        <f>LS87-MIN(LS87,LR88)</f>
        <v/>
      </c>
      <c r="LT88">
        <f>LR88-(LS87-LS88)</f>
        <v/>
      </c>
      <c r="LU88">
        <f>MAX(0,LT88*(1+$K$37)-$L$37)</f>
        <v/>
      </c>
      <c r="LV88">
        <f>LV87-MIN(LV87,LU88)</f>
        <v/>
      </c>
      <c r="LW88">
        <f>LU88-(LV87-LV88)</f>
        <v/>
      </c>
      <c r="LX88">
        <f>MAX(0,LW88*(1+$K$37)-$L$37)</f>
        <v/>
      </c>
      <c r="LY88">
        <f>LY87-MIN(LY87,LX88)</f>
        <v/>
      </c>
      <c r="LZ88">
        <f>LX88-(LY87-LY88)</f>
        <v/>
      </c>
      <c r="MA88">
        <f>MAX(0,LZ88*(1+$K$37)-$L$37)</f>
        <v/>
      </c>
      <c r="MB88">
        <f>MB87-MIN(MB87,MA88)</f>
        <v/>
      </c>
      <c r="MC88">
        <f>MA88-(MB87-MB88)</f>
        <v/>
      </c>
      <c r="MD88">
        <f>MAX(0,MC88*(1+$K$37)-$L$37)</f>
        <v/>
      </c>
      <c r="ME88">
        <f>ME87-MIN(ME87,MD88)</f>
        <v/>
      </c>
      <c r="MF88">
        <f>MD88-(ME87-ME88)</f>
        <v/>
      </c>
      <c r="MG88">
        <f>MAX(0,MF88*(1+$K$37)-$L$37)</f>
        <v/>
      </c>
      <c r="MH88">
        <f>MH87-MIN(MH87,MG88)</f>
        <v/>
      </c>
      <c r="MI88">
        <f>MG88-(MH87-MH88)</f>
        <v/>
      </c>
      <c r="MJ88">
        <f>MAX(0,MI88*(1+$K$37)-$L$37)</f>
        <v/>
      </c>
      <c r="MK88">
        <f>MK87-MIN(MK87,MJ88)</f>
        <v/>
      </c>
      <c r="ML88">
        <f>MJ88-(MK87-MK88)</f>
        <v/>
      </c>
      <c r="MM88">
        <f>MAX(0,ML88*(1+$K$37)-$L$37)</f>
        <v/>
      </c>
      <c r="MN88">
        <f>MN87-MIN(MN87,MM88)</f>
        <v/>
      </c>
      <c r="MO88">
        <f>MM88-(MN87-MN88)</f>
        <v/>
      </c>
      <c r="MP88">
        <f>MAX(0,MO88*(1+$K$37)-$L$37)</f>
        <v/>
      </c>
      <c r="MQ88">
        <f>MQ87-MIN(MQ87,MP88)</f>
        <v/>
      </c>
      <c r="MR88">
        <f>MP88-(MQ87-MQ88)</f>
        <v/>
      </c>
      <c r="MS88">
        <f>MAX(0,MR88*(1+$K$37)-$L$37)</f>
        <v/>
      </c>
      <c r="MT88">
        <f>MT87-MIN(MT87,MS88)</f>
        <v/>
      </c>
      <c r="MU88">
        <f>MS88-(MT87-MT88)</f>
        <v/>
      </c>
      <c r="MV88">
        <f>MAX(0,MU88*(1+$K$37)-$L$37)</f>
        <v/>
      </c>
      <c r="MW88">
        <f>MW87-MIN(MW87,MV88)</f>
        <v/>
      </c>
      <c r="MX88">
        <f>MV88-(MW87-MW88)</f>
        <v/>
      </c>
    </row>
    <row r="89">
      <c r="A89" t="inlineStr">
        <is>
          <t>slot 15</t>
        </is>
      </c>
      <c r="B89">
        <f>J38</f>
        <v/>
      </c>
      <c r="C89">
        <f>MAX(0,B89*(1+$K$38)-$L$38)</f>
        <v/>
      </c>
      <c r="D89">
        <f>D88-MIN(D88,C89)</f>
        <v/>
      </c>
      <c r="E89">
        <f>C89-(D88-D89)</f>
        <v/>
      </c>
      <c r="F89">
        <f>MAX(0,E89*(1+$K$38)-$L$38)</f>
        <v/>
      </c>
      <c r="G89">
        <f>G88-MIN(G88,F89)</f>
        <v/>
      </c>
      <c r="H89">
        <f>F89-(G88-G89)</f>
        <v/>
      </c>
      <c r="I89">
        <f>MAX(0,H89*(1+$K$38)-$L$38)</f>
        <v/>
      </c>
      <c r="J89">
        <f>J88-MIN(J88,I89)</f>
        <v/>
      </c>
      <c r="K89">
        <f>I89-(J88-J89)</f>
        <v/>
      </c>
      <c r="L89">
        <f>MAX(0,K89*(1+$K$38)-$L$38)</f>
        <v/>
      </c>
      <c r="M89">
        <f>M88-MIN(M88,L89)</f>
        <v/>
      </c>
      <c r="N89">
        <f>L89-(M88-M89)</f>
        <v/>
      </c>
      <c r="O89">
        <f>MAX(0,N89*(1+$K$38)-$L$38)</f>
        <v/>
      </c>
      <c r="P89">
        <f>P88-MIN(P88,O89)</f>
        <v/>
      </c>
      <c r="Q89">
        <f>O89-(P88-P89)</f>
        <v/>
      </c>
      <c r="R89">
        <f>MAX(0,Q89*(1+$K$38)-$L$38)</f>
        <v/>
      </c>
      <c r="S89">
        <f>S88-MIN(S88,R89)</f>
        <v/>
      </c>
      <c r="T89">
        <f>R89-(S88-S89)</f>
        <v/>
      </c>
      <c r="U89">
        <f>MAX(0,T89*(1+$K$38)-$L$38)</f>
        <v/>
      </c>
      <c r="V89">
        <f>V88-MIN(V88,U89)</f>
        <v/>
      </c>
      <c r="W89">
        <f>U89-(V88-V89)</f>
        <v/>
      </c>
      <c r="X89">
        <f>MAX(0,W89*(1+$K$38)-$L$38)</f>
        <v/>
      </c>
      <c r="Y89">
        <f>Y88-MIN(Y88,X89)</f>
        <v/>
      </c>
      <c r="Z89">
        <f>X89-(Y88-Y89)</f>
        <v/>
      </c>
      <c r="AA89">
        <f>MAX(0,Z89*(1+$K$38)-$L$38)</f>
        <v/>
      </c>
      <c r="AB89">
        <f>AB88-MIN(AB88,AA89)</f>
        <v/>
      </c>
      <c r="AC89">
        <f>AA89-(AB88-AB89)</f>
        <v/>
      </c>
      <c r="AD89">
        <f>MAX(0,AC89*(1+$K$38)-$L$38)</f>
        <v/>
      </c>
      <c r="AE89">
        <f>AE88-MIN(AE88,AD89)</f>
        <v/>
      </c>
      <c r="AF89">
        <f>AD89-(AE88-AE89)</f>
        <v/>
      </c>
      <c r="AG89">
        <f>MAX(0,AF89*(1+$K$38)-$L$38)</f>
        <v/>
      </c>
      <c r="AH89">
        <f>AH88-MIN(AH88,AG89)</f>
        <v/>
      </c>
      <c r="AI89">
        <f>AG89-(AH88-AH89)</f>
        <v/>
      </c>
      <c r="AJ89">
        <f>MAX(0,AI89*(1+$K$38)-$L$38)</f>
        <v/>
      </c>
      <c r="AK89">
        <f>AK88-MIN(AK88,AJ89)</f>
        <v/>
      </c>
      <c r="AL89">
        <f>AJ89-(AK88-AK89)</f>
        <v/>
      </c>
      <c r="AM89">
        <f>MAX(0,AL89*(1+$K$38)-$L$38)</f>
        <v/>
      </c>
      <c r="AN89">
        <f>AN88-MIN(AN88,AM89)</f>
        <v/>
      </c>
      <c r="AO89">
        <f>AM89-(AN88-AN89)</f>
        <v/>
      </c>
      <c r="AP89">
        <f>MAX(0,AO89*(1+$K$38)-$L$38)</f>
        <v/>
      </c>
      <c r="AQ89">
        <f>AQ88-MIN(AQ88,AP89)</f>
        <v/>
      </c>
      <c r="AR89">
        <f>AP89-(AQ88-AQ89)</f>
        <v/>
      </c>
      <c r="AS89">
        <f>MAX(0,AR89*(1+$K$38)-$L$38)</f>
        <v/>
      </c>
      <c r="AT89">
        <f>AT88-MIN(AT88,AS89)</f>
        <v/>
      </c>
      <c r="AU89">
        <f>AS89-(AT88-AT89)</f>
        <v/>
      </c>
      <c r="AV89">
        <f>MAX(0,AU89*(1+$K$38)-$L$38)</f>
        <v/>
      </c>
      <c r="AW89">
        <f>AW88-MIN(AW88,AV89)</f>
        <v/>
      </c>
      <c r="AX89">
        <f>AV89-(AW88-AW89)</f>
        <v/>
      </c>
      <c r="AY89">
        <f>MAX(0,AX89*(1+$K$38)-$L$38)</f>
        <v/>
      </c>
      <c r="AZ89">
        <f>AZ88-MIN(AZ88,AY89)</f>
        <v/>
      </c>
      <c r="BA89">
        <f>AY89-(AZ88-AZ89)</f>
        <v/>
      </c>
      <c r="BB89">
        <f>MAX(0,BA89*(1+$K$38)-$L$38)</f>
        <v/>
      </c>
      <c r="BC89">
        <f>BC88-MIN(BC88,BB89)</f>
        <v/>
      </c>
      <c r="BD89">
        <f>BB89-(BC88-BC89)</f>
        <v/>
      </c>
      <c r="BE89">
        <f>MAX(0,BD89*(1+$K$38)-$L$38)</f>
        <v/>
      </c>
      <c r="BF89">
        <f>BF88-MIN(BF88,BE89)</f>
        <v/>
      </c>
      <c r="BG89">
        <f>BE89-(BF88-BF89)</f>
        <v/>
      </c>
      <c r="BH89">
        <f>MAX(0,BG89*(1+$K$38)-$L$38)</f>
        <v/>
      </c>
      <c r="BI89">
        <f>BI88-MIN(BI88,BH89)</f>
        <v/>
      </c>
      <c r="BJ89">
        <f>BH89-(BI88-BI89)</f>
        <v/>
      </c>
      <c r="BK89">
        <f>MAX(0,BJ89*(1+$K$38)-$L$38)</f>
        <v/>
      </c>
      <c r="BL89">
        <f>BL88-MIN(BL88,BK89)</f>
        <v/>
      </c>
      <c r="BM89">
        <f>BK89-(BL88-BL89)</f>
        <v/>
      </c>
      <c r="BN89">
        <f>MAX(0,BM89*(1+$K$38)-$L$38)</f>
        <v/>
      </c>
      <c r="BO89">
        <f>BO88-MIN(BO88,BN89)</f>
        <v/>
      </c>
      <c r="BP89">
        <f>BN89-(BO88-BO89)</f>
        <v/>
      </c>
      <c r="BQ89">
        <f>MAX(0,BP89*(1+$K$38)-$L$38)</f>
        <v/>
      </c>
      <c r="BR89">
        <f>BR88-MIN(BR88,BQ89)</f>
        <v/>
      </c>
      <c r="BS89">
        <f>BQ89-(BR88-BR89)</f>
        <v/>
      </c>
      <c r="BT89">
        <f>MAX(0,BS89*(1+$K$38)-$L$38)</f>
        <v/>
      </c>
      <c r="BU89">
        <f>BU88-MIN(BU88,BT89)</f>
        <v/>
      </c>
      <c r="BV89">
        <f>BT89-(BU88-BU89)</f>
        <v/>
      </c>
      <c r="BW89">
        <f>MAX(0,BV89*(1+$K$38)-$L$38)</f>
        <v/>
      </c>
      <c r="BX89">
        <f>BX88-MIN(BX88,BW89)</f>
        <v/>
      </c>
      <c r="BY89">
        <f>BW89-(BX88-BX89)</f>
        <v/>
      </c>
      <c r="BZ89">
        <f>MAX(0,BY89*(1+$K$38)-$L$38)</f>
        <v/>
      </c>
      <c r="CA89">
        <f>CA88-MIN(CA88,BZ89)</f>
        <v/>
      </c>
      <c r="CB89">
        <f>BZ89-(CA88-CA89)</f>
        <v/>
      </c>
      <c r="CC89">
        <f>MAX(0,CB89*(1+$K$38)-$L$38)</f>
        <v/>
      </c>
      <c r="CD89">
        <f>CD88-MIN(CD88,CC89)</f>
        <v/>
      </c>
      <c r="CE89">
        <f>CC89-(CD88-CD89)</f>
        <v/>
      </c>
      <c r="CF89">
        <f>MAX(0,CE89*(1+$K$38)-$L$38)</f>
        <v/>
      </c>
      <c r="CG89">
        <f>CG88-MIN(CG88,CF89)</f>
        <v/>
      </c>
      <c r="CH89">
        <f>CF89-(CG88-CG89)</f>
        <v/>
      </c>
      <c r="CI89">
        <f>MAX(0,CH89*(1+$K$38)-$L$38)</f>
        <v/>
      </c>
      <c r="CJ89">
        <f>CJ88-MIN(CJ88,CI89)</f>
        <v/>
      </c>
      <c r="CK89">
        <f>CI89-(CJ88-CJ89)</f>
        <v/>
      </c>
      <c r="CL89">
        <f>MAX(0,CK89*(1+$K$38)-$L$38)</f>
        <v/>
      </c>
      <c r="CM89">
        <f>CM88-MIN(CM88,CL89)</f>
        <v/>
      </c>
      <c r="CN89">
        <f>CL89-(CM88-CM89)</f>
        <v/>
      </c>
      <c r="CO89">
        <f>MAX(0,CN89*(1+$K$38)-$L$38)</f>
        <v/>
      </c>
      <c r="CP89">
        <f>CP88-MIN(CP88,CO89)</f>
        <v/>
      </c>
      <c r="CQ89">
        <f>CO89-(CP88-CP89)</f>
        <v/>
      </c>
      <c r="CR89">
        <f>MAX(0,CQ89*(1+$K$38)-$L$38)</f>
        <v/>
      </c>
      <c r="CS89">
        <f>CS88-MIN(CS88,CR89)</f>
        <v/>
      </c>
      <c r="CT89">
        <f>CR89-(CS88-CS89)</f>
        <v/>
      </c>
      <c r="CU89">
        <f>MAX(0,CT89*(1+$K$38)-$L$38)</f>
        <v/>
      </c>
      <c r="CV89">
        <f>CV88-MIN(CV88,CU89)</f>
        <v/>
      </c>
      <c r="CW89">
        <f>CU89-(CV88-CV89)</f>
        <v/>
      </c>
      <c r="CX89">
        <f>MAX(0,CW89*(1+$K$38)-$L$38)</f>
        <v/>
      </c>
      <c r="CY89">
        <f>CY88-MIN(CY88,CX89)</f>
        <v/>
      </c>
      <c r="CZ89">
        <f>CX89-(CY88-CY89)</f>
        <v/>
      </c>
      <c r="DA89">
        <f>MAX(0,CZ89*(1+$K$38)-$L$38)</f>
        <v/>
      </c>
      <c r="DB89">
        <f>DB88-MIN(DB88,DA89)</f>
        <v/>
      </c>
      <c r="DC89">
        <f>DA89-(DB88-DB89)</f>
        <v/>
      </c>
      <c r="DD89">
        <f>MAX(0,DC89*(1+$K$38)-$L$38)</f>
        <v/>
      </c>
      <c r="DE89">
        <f>DE88-MIN(DE88,DD89)</f>
        <v/>
      </c>
      <c r="DF89">
        <f>DD89-(DE88-DE89)</f>
        <v/>
      </c>
      <c r="DG89">
        <f>MAX(0,DF89*(1+$K$38)-$L$38)</f>
        <v/>
      </c>
      <c r="DH89">
        <f>DH88-MIN(DH88,DG89)</f>
        <v/>
      </c>
      <c r="DI89">
        <f>DG89-(DH88-DH89)</f>
        <v/>
      </c>
      <c r="DJ89">
        <f>MAX(0,DI89*(1+$K$38)-$L$38)</f>
        <v/>
      </c>
      <c r="DK89">
        <f>DK88-MIN(DK88,DJ89)</f>
        <v/>
      </c>
      <c r="DL89">
        <f>DJ89-(DK88-DK89)</f>
        <v/>
      </c>
      <c r="DM89">
        <f>MAX(0,DL89*(1+$K$38)-$L$38)</f>
        <v/>
      </c>
      <c r="DN89">
        <f>DN88-MIN(DN88,DM89)</f>
        <v/>
      </c>
      <c r="DO89">
        <f>DM89-(DN88-DN89)</f>
        <v/>
      </c>
      <c r="DP89">
        <f>MAX(0,DO89*(1+$K$38)-$L$38)</f>
        <v/>
      </c>
      <c r="DQ89">
        <f>DQ88-MIN(DQ88,DP89)</f>
        <v/>
      </c>
      <c r="DR89">
        <f>DP89-(DQ88-DQ89)</f>
        <v/>
      </c>
      <c r="DS89">
        <f>MAX(0,DR89*(1+$K$38)-$L$38)</f>
        <v/>
      </c>
      <c r="DT89">
        <f>DT88-MIN(DT88,DS89)</f>
        <v/>
      </c>
      <c r="DU89">
        <f>DS89-(DT88-DT89)</f>
        <v/>
      </c>
      <c r="DV89">
        <f>MAX(0,DU89*(1+$K$38)-$L$38)</f>
        <v/>
      </c>
      <c r="DW89">
        <f>DW88-MIN(DW88,DV89)</f>
        <v/>
      </c>
      <c r="DX89">
        <f>DV89-(DW88-DW89)</f>
        <v/>
      </c>
      <c r="DY89">
        <f>MAX(0,DX89*(1+$K$38)-$L$38)</f>
        <v/>
      </c>
      <c r="DZ89">
        <f>DZ88-MIN(DZ88,DY89)</f>
        <v/>
      </c>
      <c r="EA89">
        <f>DY89-(DZ88-DZ89)</f>
        <v/>
      </c>
      <c r="EB89">
        <f>MAX(0,EA89*(1+$K$38)-$L$38)</f>
        <v/>
      </c>
      <c r="EC89">
        <f>EC88-MIN(EC88,EB89)</f>
        <v/>
      </c>
      <c r="ED89">
        <f>EB89-(EC88-EC89)</f>
        <v/>
      </c>
      <c r="EE89">
        <f>MAX(0,ED89*(1+$K$38)-$L$38)</f>
        <v/>
      </c>
      <c r="EF89">
        <f>EF88-MIN(EF88,EE89)</f>
        <v/>
      </c>
      <c r="EG89">
        <f>EE89-(EF88-EF89)</f>
        <v/>
      </c>
      <c r="EH89">
        <f>MAX(0,EG89*(1+$K$38)-$L$38)</f>
        <v/>
      </c>
      <c r="EI89">
        <f>EI88-MIN(EI88,EH89)</f>
        <v/>
      </c>
      <c r="EJ89">
        <f>EH89-(EI88-EI89)</f>
        <v/>
      </c>
      <c r="EK89">
        <f>MAX(0,EJ89*(1+$K$38)-$L$38)</f>
        <v/>
      </c>
      <c r="EL89">
        <f>EL88-MIN(EL88,EK89)</f>
        <v/>
      </c>
      <c r="EM89">
        <f>EK89-(EL88-EL89)</f>
        <v/>
      </c>
      <c r="EN89">
        <f>MAX(0,EM89*(1+$K$38)-$L$38)</f>
        <v/>
      </c>
      <c r="EO89">
        <f>EO88-MIN(EO88,EN89)</f>
        <v/>
      </c>
      <c r="EP89">
        <f>EN89-(EO88-EO89)</f>
        <v/>
      </c>
      <c r="EQ89">
        <f>MAX(0,EP89*(1+$K$38)-$L$38)</f>
        <v/>
      </c>
      <c r="ER89">
        <f>ER88-MIN(ER88,EQ89)</f>
        <v/>
      </c>
      <c r="ES89">
        <f>EQ89-(ER88-ER89)</f>
        <v/>
      </c>
      <c r="ET89">
        <f>MAX(0,ES89*(1+$K$38)-$L$38)</f>
        <v/>
      </c>
      <c r="EU89">
        <f>EU88-MIN(EU88,ET89)</f>
        <v/>
      </c>
      <c r="EV89">
        <f>ET89-(EU88-EU89)</f>
        <v/>
      </c>
      <c r="EW89">
        <f>MAX(0,EV89*(1+$K$38)-$L$38)</f>
        <v/>
      </c>
      <c r="EX89">
        <f>EX88-MIN(EX88,EW89)</f>
        <v/>
      </c>
      <c r="EY89">
        <f>EW89-(EX88-EX89)</f>
        <v/>
      </c>
      <c r="EZ89">
        <f>MAX(0,EY89*(1+$K$38)-$L$38)</f>
        <v/>
      </c>
      <c r="FA89">
        <f>FA88-MIN(FA88,EZ89)</f>
        <v/>
      </c>
      <c r="FB89">
        <f>EZ89-(FA88-FA89)</f>
        <v/>
      </c>
      <c r="FC89">
        <f>MAX(0,FB89*(1+$K$38)-$L$38)</f>
        <v/>
      </c>
      <c r="FD89">
        <f>FD88-MIN(FD88,FC89)</f>
        <v/>
      </c>
      <c r="FE89">
        <f>FC89-(FD88-FD89)</f>
        <v/>
      </c>
      <c r="FF89">
        <f>MAX(0,FE89*(1+$K$38)-$L$38)</f>
        <v/>
      </c>
      <c r="FG89">
        <f>FG88-MIN(FG88,FF89)</f>
        <v/>
      </c>
      <c r="FH89">
        <f>FF89-(FG88-FG89)</f>
        <v/>
      </c>
      <c r="FI89">
        <f>MAX(0,FH89*(1+$K$38)-$L$38)</f>
        <v/>
      </c>
      <c r="FJ89">
        <f>FJ88-MIN(FJ88,FI89)</f>
        <v/>
      </c>
      <c r="FK89">
        <f>FI89-(FJ88-FJ89)</f>
        <v/>
      </c>
      <c r="FL89">
        <f>MAX(0,FK89*(1+$K$38)-$L$38)</f>
        <v/>
      </c>
      <c r="FM89">
        <f>FM88-MIN(FM88,FL89)</f>
        <v/>
      </c>
      <c r="FN89">
        <f>FL89-(FM88-FM89)</f>
        <v/>
      </c>
      <c r="FO89">
        <f>MAX(0,FN89*(1+$K$38)-$L$38)</f>
        <v/>
      </c>
      <c r="FP89">
        <f>FP88-MIN(FP88,FO89)</f>
        <v/>
      </c>
      <c r="FQ89">
        <f>FO89-(FP88-FP89)</f>
        <v/>
      </c>
      <c r="FR89">
        <f>MAX(0,FQ89*(1+$K$38)-$L$38)</f>
        <v/>
      </c>
      <c r="FS89">
        <f>FS88-MIN(FS88,FR89)</f>
        <v/>
      </c>
      <c r="FT89">
        <f>FR89-(FS88-FS89)</f>
        <v/>
      </c>
      <c r="FU89">
        <f>MAX(0,FT89*(1+$K$38)-$L$38)</f>
        <v/>
      </c>
      <c r="FV89">
        <f>FV88-MIN(FV88,FU89)</f>
        <v/>
      </c>
      <c r="FW89">
        <f>FU89-(FV88-FV89)</f>
        <v/>
      </c>
      <c r="FX89">
        <f>MAX(0,FW89*(1+$K$38)-$L$38)</f>
        <v/>
      </c>
      <c r="FY89">
        <f>FY88-MIN(FY88,FX89)</f>
        <v/>
      </c>
      <c r="FZ89">
        <f>FX89-(FY88-FY89)</f>
        <v/>
      </c>
      <c r="GA89">
        <f>MAX(0,FZ89*(1+$K$38)-$L$38)</f>
        <v/>
      </c>
      <c r="GB89">
        <f>GB88-MIN(GB88,GA89)</f>
        <v/>
      </c>
      <c r="GC89">
        <f>GA89-(GB88-GB89)</f>
        <v/>
      </c>
      <c r="GD89">
        <f>MAX(0,GC89*(1+$K$38)-$L$38)</f>
        <v/>
      </c>
      <c r="GE89">
        <f>GE88-MIN(GE88,GD89)</f>
        <v/>
      </c>
      <c r="GF89">
        <f>GD89-(GE88-GE89)</f>
        <v/>
      </c>
      <c r="GG89">
        <f>MAX(0,GF89*(1+$K$38)-$L$38)</f>
        <v/>
      </c>
      <c r="GH89">
        <f>GH88-MIN(GH88,GG89)</f>
        <v/>
      </c>
      <c r="GI89">
        <f>GG89-(GH88-GH89)</f>
        <v/>
      </c>
      <c r="GJ89">
        <f>MAX(0,GI89*(1+$K$38)-$L$38)</f>
        <v/>
      </c>
      <c r="GK89">
        <f>GK88-MIN(GK88,GJ89)</f>
        <v/>
      </c>
      <c r="GL89">
        <f>GJ89-(GK88-GK89)</f>
        <v/>
      </c>
      <c r="GM89">
        <f>MAX(0,GL89*(1+$K$38)-$L$38)</f>
        <v/>
      </c>
      <c r="GN89">
        <f>GN88-MIN(GN88,GM89)</f>
        <v/>
      </c>
      <c r="GO89">
        <f>GM89-(GN88-GN89)</f>
        <v/>
      </c>
      <c r="GP89">
        <f>MAX(0,GO89*(1+$K$38)-$L$38)</f>
        <v/>
      </c>
      <c r="GQ89">
        <f>GQ88-MIN(GQ88,GP89)</f>
        <v/>
      </c>
      <c r="GR89">
        <f>GP89-(GQ88-GQ89)</f>
        <v/>
      </c>
      <c r="GS89">
        <f>MAX(0,GR89*(1+$K$38)-$L$38)</f>
        <v/>
      </c>
      <c r="GT89">
        <f>GT88-MIN(GT88,GS89)</f>
        <v/>
      </c>
      <c r="GU89">
        <f>GS89-(GT88-GT89)</f>
        <v/>
      </c>
      <c r="GV89">
        <f>MAX(0,GU89*(1+$K$38)-$L$38)</f>
        <v/>
      </c>
      <c r="GW89">
        <f>GW88-MIN(GW88,GV89)</f>
        <v/>
      </c>
      <c r="GX89">
        <f>GV89-(GW88-GW89)</f>
        <v/>
      </c>
      <c r="GY89">
        <f>MAX(0,GX89*(1+$K$38)-$L$38)</f>
        <v/>
      </c>
      <c r="GZ89">
        <f>GZ88-MIN(GZ88,GY89)</f>
        <v/>
      </c>
      <c r="HA89">
        <f>GY89-(GZ88-GZ89)</f>
        <v/>
      </c>
      <c r="HB89">
        <f>MAX(0,HA89*(1+$K$38)-$L$38)</f>
        <v/>
      </c>
      <c r="HC89">
        <f>HC88-MIN(HC88,HB89)</f>
        <v/>
      </c>
      <c r="HD89">
        <f>HB89-(HC88-HC89)</f>
        <v/>
      </c>
      <c r="HE89">
        <f>MAX(0,HD89*(1+$K$38)-$L$38)</f>
        <v/>
      </c>
      <c r="HF89">
        <f>HF88-MIN(HF88,HE89)</f>
        <v/>
      </c>
      <c r="HG89">
        <f>HE89-(HF88-HF89)</f>
        <v/>
      </c>
      <c r="HH89">
        <f>MAX(0,HG89*(1+$K$38)-$L$38)</f>
        <v/>
      </c>
      <c r="HI89">
        <f>HI88-MIN(HI88,HH89)</f>
        <v/>
      </c>
      <c r="HJ89">
        <f>HH89-(HI88-HI89)</f>
        <v/>
      </c>
      <c r="HK89">
        <f>MAX(0,HJ89*(1+$K$38)-$L$38)</f>
        <v/>
      </c>
      <c r="HL89">
        <f>HL88-MIN(HL88,HK89)</f>
        <v/>
      </c>
      <c r="HM89">
        <f>HK89-(HL88-HL89)</f>
        <v/>
      </c>
      <c r="HN89">
        <f>MAX(0,HM89*(1+$K$38)-$L$38)</f>
        <v/>
      </c>
      <c r="HO89">
        <f>HO88-MIN(HO88,HN89)</f>
        <v/>
      </c>
      <c r="HP89">
        <f>HN89-(HO88-HO89)</f>
        <v/>
      </c>
      <c r="HQ89">
        <f>MAX(0,HP89*(1+$K$38)-$L$38)</f>
        <v/>
      </c>
      <c r="HR89">
        <f>HR88-MIN(HR88,HQ89)</f>
        <v/>
      </c>
      <c r="HS89">
        <f>HQ89-(HR88-HR89)</f>
        <v/>
      </c>
      <c r="HT89">
        <f>MAX(0,HS89*(1+$K$38)-$L$38)</f>
        <v/>
      </c>
      <c r="HU89">
        <f>HU88-MIN(HU88,HT89)</f>
        <v/>
      </c>
      <c r="HV89">
        <f>HT89-(HU88-HU89)</f>
        <v/>
      </c>
      <c r="HW89">
        <f>MAX(0,HV89*(1+$K$38)-$L$38)</f>
        <v/>
      </c>
      <c r="HX89">
        <f>HX88-MIN(HX88,HW89)</f>
        <v/>
      </c>
      <c r="HY89">
        <f>HW89-(HX88-HX89)</f>
        <v/>
      </c>
      <c r="HZ89">
        <f>MAX(0,HY89*(1+$K$38)-$L$38)</f>
        <v/>
      </c>
      <c r="IA89">
        <f>IA88-MIN(IA88,HZ89)</f>
        <v/>
      </c>
      <c r="IB89">
        <f>HZ89-(IA88-IA89)</f>
        <v/>
      </c>
      <c r="IC89">
        <f>MAX(0,IB89*(1+$K$38)-$L$38)</f>
        <v/>
      </c>
      <c r="ID89">
        <f>ID88-MIN(ID88,IC89)</f>
        <v/>
      </c>
      <c r="IE89">
        <f>IC89-(ID88-ID89)</f>
        <v/>
      </c>
      <c r="IF89">
        <f>MAX(0,IE89*(1+$K$38)-$L$38)</f>
        <v/>
      </c>
      <c r="IG89">
        <f>IG88-MIN(IG88,IF89)</f>
        <v/>
      </c>
      <c r="IH89">
        <f>IF89-(IG88-IG89)</f>
        <v/>
      </c>
      <c r="II89">
        <f>MAX(0,IH89*(1+$K$38)-$L$38)</f>
        <v/>
      </c>
      <c r="IJ89">
        <f>IJ88-MIN(IJ88,II89)</f>
        <v/>
      </c>
      <c r="IK89">
        <f>II89-(IJ88-IJ89)</f>
        <v/>
      </c>
      <c r="IL89">
        <f>MAX(0,IK89*(1+$K$38)-$L$38)</f>
        <v/>
      </c>
      <c r="IM89">
        <f>IM88-MIN(IM88,IL89)</f>
        <v/>
      </c>
      <c r="IN89">
        <f>IL89-(IM88-IM89)</f>
        <v/>
      </c>
      <c r="IO89">
        <f>MAX(0,IN89*(1+$K$38)-$L$38)</f>
        <v/>
      </c>
      <c r="IP89">
        <f>IP88-MIN(IP88,IO89)</f>
        <v/>
      </c>
      <c r="IQ89">
        <f>IO89-(IP88-IP89)</f>
        <v/>
      </c>
      <c r="IR89">
        <f>MAX(0,IQ89*(1+$K$38)-$L$38)</f>
        <v/>
      </c>
      <c r="IS89">
        <f>IS88-MIN(IS88,IR89)</f>
        <v/>
      </c>
      <c r="IT89">
        <f>IR89-(IS88-IS89)</f>
        <v/>
      </c>
      <c r="IU89">
        <f>MAX(0,IT89*(1+$K$38)-$L$38)</f>
        <v/>
      </c>
      <c r="IV89">
        <f>IV88-MIN(IV88,IU89)</f>
        <v/>
      </c>
      <c r="IW89">
        <f>IU89-(IV88-IV89)</f>
        <v/>
      </c>
      <c r="IX89">
        <f>MAX(0,IW89*(1+$K$38)-$L$38)</f>
        <v/>
      </c>
      <c r="IY89">
        <f>IY88-MIN(IY88,IX89)</f>
        <v/>
      </c>
      <c r="IZ89">
        <f>IX89-(IY88-IY89)</f>
        <v/>
      </c>
      <c r="JA89">
        <f>MAX(0,IZ89*(1+$K$38)-$L$38)</f>
        <v/>
      </c>
      <c r="JB89">
        <f>JB88-MIN(JB88,JA89)</f>
        <v/>
      </c>
      <c r="JC89">
        <f>JA89-(JB88-JB89)</f>
        <v/>
      </c>
      <c r="JD89">
        <f>MAX(0,JC89*(1+$K$38)-$L$38)</f>
        <v/>
      </c>
      <c r="JE89">
        <f>JE88-MIN(JE88,JD89)</f>
        <v/>
      </c>
      <c r="JF89">
        <f>JD89-(JE88-JE89)</f>
        <v/>
      </c>
      <c r="JG89">
        <f>MAX(0,JF89*(1+$K$38)-$L$38)</f>
        <v/>
      </c>
      <c r="JH89">
        <f>JH88-MIN(JH88,JG89)</f>
        <v/>
      </c>
      <c r="JI89">
        <f>JG89-(JH88-JH89)</f>
        <v/>
      </c>
      <c r="JJ89">
        <f>MAX(0,JI89*(1+$K$38)-$L$38)</f>
        <v/>
      </c>
      <c r="JK89">
        <f>JK88-MIN(JK88,JJ89)</f>
        <v/>
      </c>
      <c r="JL89">
        <f>JJ89-(JK88-JK89)</f>
        <v/>
      </c>
      <c r="JM89">
        <f>MAX(0,JL89*(1+$K$38)-$L$38)</f>
        <v/>
      </c>
      <c r="JN89">
        <f>JN88-MIN(JN88,JM89)</f>
        <v/>
      </c>
      <c r="JO89">
        <f>JM89-(JN88-JN89)</f>
        <v/>
      </c>
      <c r="JP89">
        <f>MAX(0,JO89*(1+$K$38)-$L$38)</f>
        <v/>
      </c>
      <c r="JQ89">
        <f>JQ88-MIN(JQ88,JP89)</f>
        <v/>
      </c>
      <c r="JR89">
        <f>JP89-(JQ88-JQ89)</f>
        <v/>
      </c>
      <c r="JS89">
        <f>MAX(0,JR89*(1+$K$38)-$L$38)</f>
        <v/>
      </c>
      <c r="JT89">
        <f>JT88-MIN(JT88,JS89)</f>
        <v/>
      </c>
      <c r="JU89">
        <f>JS89-(JT88-JT89)</f>
        <v/>
      </c>
      <c r="JV89">
        <f>MAX(0,JU89*(1+$K$38)-$L$38)</f>
        <v/>
      </c>
      <c r="JW89">
        <f>JW88-MIN(JW88,JV89)</f>
        <v/>
      </c>
      <c r="JX89">
        <f>JV89-(JW88-JW89)</f>
        <v/>
      </c>
      <c r="JY89">
        <f>MAX(0,JX89*(1+$K$38)-$L$38)</f>
        <v/>
      </c>
      <c r="JZ89">
        <f>JZ88-MIN(JZ88,JY89)</f>
        <v/>
      </c>
      <c r="KA89">
        <f>JY89-(JZ88-JZ89)</f>
        <v/>
      </c>
      <c r="KB89">
        <f>MAX(0,KA89*(1+$K$38)-$L$38)</f>
        <v/>
      </c>
      <c r="KC89">
        <f>KC88-MIN(KC88,KB89)</f>
        <v/>
      </c>
      <c r="KD89">
        <f>KB89-(KC88-KC89)</f>
        <v/>
      </c>
      <c r="KE89">
        <f>MAX(0,KD89*(1+$K$38)-$L$38)</f>
        <v/>
      </c>
      <c r="KF89">
        <f>KF88-MIN(KF88,KE89)</f>
        <v/>
      </c>
      <c r="KG89">
        <f>KE89-(KF88-KF89)</f>
        <v/>
      </c>
      <c r="KH89">
        <f>MAX(0,KG89*(1+$K$38)-$L$38)</f>
        <v/>
      </c>
      <c r="KI89">
        <f>KI88-MIN(KI88,KH89)</f>
        <v/>
      </c>
      <c r="KJ89">
        <f>KH89-(KI88-KI89)</f>
        <v/>
      </c>
      <c r="KK89">
        <f>MAX(0,KJ89*(1+$K$38)-$L$38)</f>
        <v/>
      </c>
      <c r="KL89">
        <f>KL88-MIN(KL88,KK89)</f>
        <v/>
      </c>
      <c r="KM89">
        <f>KK89-(KL88-KL89)</f>
        <v/>
      </c>
      <c r="KN89">
        <f>MAX(0,KM89*(1+$K$38)-$L$38)</f>
        <v/>
      </c>
      <c r="KO89">
        <f>KO88-MIN(KO88,KN89)</f>
        <v/>
      </c>
      <c r="KP89">
        <f>KN89-(KO88-KO89)</f>
        <v/>
      </c>
      <c r="KQ89">
        <f>MAX(0,KP89*(1+$K$38)-$L$38)</f>
        <v/>
      </c>
      <c r="KR89">
        <f>KR88-MIN(KR88,KQ89)</f>
        <v/>
      </c>
      <c r="KS89">
        <f>KQ89-(KR88-KR89)</f>
        <v/>
      </c>
      <c r="KT89">
        <f>MAX(0,KS89*(1+$K$38)-$L$38)</f>
        <v/>
      </c>
      <c r="KU89">
        <f>KU88-MIN(KU88,KT89)</f>
        <v/>
      </c>
      <c r="KV89">
        <f>KT89-(KU88-KU89)</f>
        <v/>
      </c>
      <c r="KW89">
        <f>MAX(0,KV89*(1+$K$38)-$L$38)</f>
        <v/>
      </c>
      <c r="KX89">
        <f>KX88-MIN(KX88,KW89)</f>
        <v/>
      </c>
      <c r="KY89">
        <f>KW89-(KX88-KX89)</f>
        <v/>
      </c>
      <c r="KZ89">
        <f>MAX(0,KY89*(1+$K$38)-$L$38)</f>
        <v/>
      </c>
      <c r="LA89">
        <f>LA88-MIN(LA88,KZ89)</f>
        <v/>
      </c>
      <c r="LB89">
        <f>KZ89-(LA88-LA89)</f>
        <v/>
      </c>
      <c r="LC89">
        <f>MAX(0,LB89*(1+$K$38)-$L$38)</f>
        <v/>
      </c>
      <c r="LD89">
        <f>LD88-MIN(LD88,LC89)</f>
        <v/>
      </c>
      <c r="LE89">
        <f>LC89-(LD88-LD89)</f>
        <v/>
      </c>
      <c r="LF89">
        <f>MAX(0,LE89*(1+$K$38)-$L$38)</f>
        <v/>
      </c>
      <c r="LG89">
        <f>LG88-MIN(LG88,LF89)</f>
        <v/>
      </c>
      <c r="LH89">
        <f>LF89-(LG88-LG89)</f>
        <v/>
      </c>
      <c r="LI89">
        <f>MAX(0,LH89*(1+$K$38)-$L$38)</f>
        <v/>
      </c>
      <c r="LJ89">
        <f>LJ88-MIN(LJ88,LI89)</f>
        <v/>
      </c>
      <c r="LK89">
        <f>LI89-(LJ88-LJ89)</f>
        <v/>
      </c>
      <c r="LL89">
        <f>MAX(0,LK89*(1+$K$38)-$L$38)</f>
        <v/>
      </c>
      <c r="LM89">
        <f>LM88-MIN(LM88,LL89)</f>
        <v/>
      </c>
      <c r="LN89">
        <f>LL89-(LM88-LM89)</f>
        <v/>
      </c>
      <c r="LO89">
        <f>MAX(0,LN89*(1+$K$38)-$L$38)</f>
        <v/>
      </c>
      <c r="LP89">
        <f>LP88-MIN(LP88,LO89)</f>
        <v/>
      </c>
      <c r="LQ89">
        <f>LO89-(LP88-LP89)</f>
        <v/>
      </c>
      <c r="LR89">
        <f>MAX(0,LQ89*(1+$K$38)-$L$38)</f>
        <v/>
      </c>
      <c r="LS89">
        <f>LS88-MIN(LS88,LR89)</f>
        <v/>
      </c>
      <c r="LT89">
        <f>LR89-(LS88-LS89)</f>
        <v/>
      </c>
      <c r="LU89">
        <f>MAX(0,LT89*(1+$K$38)-$L$38)</f>
        <v/>
      </c>
      <c r="LV89">
        <f>LV88-MIN(LV88,LU89)</f>
        <v/>
      </c>
      <c r="LW89">
        <f>LU89-(LV88-LV89)</f>
        <v/>
      </c>
      <c r="LX89">
        <f>MAX(0,LW89*(1+$K$38)-$L$38)</f>
        <v/>
      </c>
      <c r="LY89">
        <f>LY88-MIN(LY88,LX89)</f>
        <v/>
      </c>
      <c r="LZ89">
        <f>LX89-(LY88-LY89)</f>
        <v/>
      </c>
      <c r="MA89">
        <f>MAX(0,LZ89*(1+$K$38)-$L$38)</f>
        <v/>
      </c>
      <c r="MB89">
        <f>MB88-MIN(MB88,MA89)</f>
        <v/>
      </c>
      <c r="MC89">
        <f>MA89-(MB88-MB89)</f>
        <v/>
      </c>
      <c r="MD89">
        <f>MAX(0,MC89*(1+$K$38)-$L$38)</f>
        <v/>
      </c>
      <c r="ME89">
        <f>ME88-MIN(ME88,MD89)</f>
        <v/>
      </c>
      <c r="MF89">
        <f>MD89-(ME88-ME89)</f>
        <v/>
      </c>
      <c r="MG89">
        <f>MAX(0,MF89*(1+$K$38)-$L$38)</f>
        <v/>
      </c>
      <c r="MH89">
        <f>MH88-MIN(MH88,MG89)</f>
        <v/>
      </c>
      <c r="MI89">
        <f>MG89-(MH88-MH89)</f>
        <v/>
      </c>
      <c r="MJ89">
        <f>MAX(0,MI89*(1+$K$38)-$L$38)</f>
        <v/>
      </c>
      <c r="MK89">
        <f>MK88-MIN(MK88,MJ89)</f>
        <v/>
      </c>
      <c r="ML89">
        <f>MJ89-(MK88-MK89)</f>
        <v/>
      </c>
      <c r="MM89">
        <f>MAX(0,ML89*(1+$K$38)-$L$38)</f>
        <v/>
      </c>
      <c r="MN89">
        <f>MN88-MIN(MN88,MM89)</f>
        <v/>
      </c>
      <c r="MO89">
        <f>MM89-(MN88-MN89)</f>
        <v/>
      </c>
      <c r="MP89">
        <f>MAX(0,MO89*(1+$K$38)-$L$38)</f>
        <v/>
      </c>
      <c r="MQ89">
        <f>MQ88-MIN(MQ88,MP89)</f>
        <v/>
      </c>
      <c r="MR89">
        <f>MP89-(MQ88-MQ89)</f>
        <v/>
      </c>
      <c r="MS89">
        <f>MAX(0,MR89*(1+$K$38)-$L$38)</f>
        <v/>
      </c>
      <c r="MT89">
        <f>MT88-MIN(MT88,MS89)</f>
        <v/>
      </c>
      <c r="MU89">
        <f>MS89-(MT88-MT89)</f>
        <v/>
      </c>
      <c r="MV89">
        <f>MAX(0,MU89*(1+$K$38)-$L$38)</f>
        <v/>
      </c>
      <c r="MW89">
        <f>MW88-MIN(MW88,MV89)</f>
        <v/>
      </c>
      <c r="MX89">
        <f>MV89-(MW88-MW89)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2026-10-07T09:09:23Z</dcterms:created>
  <dcterms:modified xsi:type="dcterms:W3CDTF">2026-10-07T09:09:23Z</dcterms:modified>
</cp:coreProperties>
</file>